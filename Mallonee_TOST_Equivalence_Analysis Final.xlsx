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eatherlangsner/Desktop/For Monday Meeting with Dr. Pedrosa/"/>
    </mc:Choice>
  </mc:AlternateContent>
  <xr:revisionPtr revIDLastSave="0" documentId="8_{459E41D1-97B3-444F-AAAF-3414825C38DD}" xr6:coauthVersionLast="47" xr6:coauthVersionMax="47" xr10:uidLastSave="{00000000-0000-0000-0000-000000000000}"/>
  <bookViews>
    <workbookView xWindow="0" yWindow="660" windowWidth="26300" windowHeight="16720" tabRatio="500" xr2:uid="{00000000-000D-0000-FFFF-FFFF00000000}"/>
  </bookViews>
  <sheets>
    <sheet name="Raw Values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4" i="1" l="1"/>
  <c r="E174" i="1"/>
  <c r="D174" i="1"/>
  <c r="F174" i="1" s="1"/>
  <c r="C174" i="1"/>
  <c r="I173" i="1"/>
  <c r="J173" i="1" s="1"/>
  <c r="M173" i="1" s="1"/>
  <c r="O173" i="1" s="1"/>
  <c r="G173" i="1"/>
  <c r="K173" i="1" s="1"/>
  <c r="L173" i="1" s="1"/>
  <c r="E173" i="1"/>
  <c r="F173" i="1" s="1"/>
  <c r="D173" i="1"/>
  <c r="C173" i="1"/>
  <c r="J172" i="1"/>
  <c r="M172" i="1" s="1"/>
  <c r="O172" i="1" s="1"/>
  <c r="I172" i="1"/>
  <c r="G172" i="1"/>
  <c r="K172" i="1" s="1"/>
  <c r="L172" i="1" s="1"/>
  <c r="F172" i="1"/>
  <c r="E172" i="1"/>
  <c r="D172" i="1"/>
  <c r="C172" i="1"/>
  <c r="G171" i="1"/>
  <c r="K171" i="1" s="1"/>
  <c r="L171" i="1" s="1"/>
  <c r="E171" i="1"/>
  <c r="D171" i="1"/>
  <c r="F171" i="1" s="1"/>
  <c r="C171" i="1"/>
  <c r="I170" i="1"/>
  <c r="J170" i="1" s="1"/>
  <c r="G170" i="1"/>
  <c r="E170" i="1"/>
  <c r="D170" i="1"/>
  <c r="F170" i="1" s="1"/>
  <c r="K170" i="1" s="1"/>
  <c r="L170" i="1" s="1"/>
  <c r="C170" i="1"/>
  <c r="G169" i="1"/>
  <c r="E169" i="1"/>
  <c r="D169" i="1"/>
  <c r="F169" i="1" s="1"/>
  <c r="C169" i="1"/>
  <c r="K168" i="1"/>
  <c r="L168" i="1" s="1"/>
  <c r="G168" i="1"/>
  <c r="E168" i="1"/>
  <c r="D168" i="1"/>
  <c r="F168" i="1" s="1"/>
  <c r="C168" i="1"/>
  <c r="G167" i="1"/>
  <c r="E167" i="1"/>
  <c r="D167" i="1"/>
  <c r="F167" i="1" s="1"/>
  <c r="C167" i="1"/>
  <c r="G166" i="1"/>
  <c r="E166" i="1"/>
  <c r="D166" i="1"/>
  <c r="F166" i="1" s="1"/>
  <c r="C166" i="1"/>
  <c r="G165" i="1"/>
  <c r="E165" i="1"/>
  <c r="F165" i="1" s="1"/>
  <c r="D165" i="1"/>
  <c r="C165" i="1"/>
  <c r="G164" i="1"/>
  <c r="F164" i="1"/>
  <c r="K164" i="1" s="1"/>
  <c r="L164" i="1" s="1"/>
  <c r="E164" i="1"/>
  <c r="D164" i="1"/>
  <c r="C164" i="1"/>
  <c r="I163" i="1"/>
  <c r="J163" i="1" s="1"/>
  <c r="G163" i="1"/>
  <c r="E163" i="1"/>
  <c r="F163" i="1" s="1"/>
  <c r="D163" i="1"/>
  <c r="C163" i="1"/>
  <c r="G162" i="1"/>
  <c r="F162" i="1"/>
  <c r="K162" i="1" s="1"/>
  <c r="L162" i="1" s="1"/>
  <c r="E162" i="1"/>
  <c r="D162" i="1"/>
  <c r="C162" i="1"/>
  <c r="J161" i="1"/>
  <c r="G161" i="1"/>
  <c r="E161" i="1"/>
  <c r="D161" i="1"/>
  <c r="F161" i="1" s="1"/>
  <c r="I161" i="1" s="1"/>
  <c r="C161" i="1"/>
  <c r="G149" i="1"/>
  <c r="F149" i="1"/>
  <c r="H149" i="1" s="1"/>
  <c r="J149" i="1" s="1"/>
  <c r="D149" i="1"/>
  <c r="C149" i="1"/>
  <c r="E149" i="1" s="1"/>
  <c r="H148" i="1"/>
  <c r="J148" i="1" s="1"/>
  <c r="G148" i="1"/>
  <c r="F148" i="1"/>
  <c r="E148" i="1"/>
  <c r="D148" i="1"/>
  <c r="C148" i="1"/>
  <c r="G147" i="1"/>
  <c r="F147" i="1"/>
  <c r="H147" i="1" s="1"/>
  <c r="J147" i="1" s="1"/>
  <c r="D147" i="1"/>
  <c r="E147" i="1" s="1"/>
  <c r="C147" i="1"/>
  <c r="G146" i="1"/>
  <c r="F146" i="1"/>
  <c r="H146" i="1" s="1"/>
  <c r="J146" i="1" s="1"/>
  <c r="E146" i="1"/>
  <c r="D146" i="1"/>
  <c r="C146" i="1"/>
  <c r="G145" i="1"/>
  <c r="F145" i="1"/>
  <c r="H145" i="1" s="1"/>
  <c r="J145" i="1" s="1"/>
  <c r="E145" i="1"/>
  <c r="D145" i="1"/>
  <c r="C145" i="1"/>
  <c r="L144" i="1"/>
  <c r="G144" i="1"/>
  <c r="F144" i="1"/>
  <c r="H144" i="1" s="1"/>
  <c r="J144" i="1" s="1"/>
  <c r="K144" i="1" s="1"/>
  <c r="D144" i="1"/>
  <c r="C144" i="1"/>
  <c r="E144" i="1" s="1"/>
  <c r="G143" i="1"/>
  <c r="F143" i="1"/>
  <c r="D143" i="1"/>
  <c r="C143" i="1"/>
  <c r="E143" i="1" s="1"/>
  <c r="L142" i="1"/>
  <c r="J142" i="1"/>
  <c r="K142" i="1" s="1"/>
  <c r="G142" i="1"/>
  <c r="F142" i="1"/>
  <c r="H142" i="1" s="1"/>
  <c r="D142" i="1"/>
  <c r="C142" i="1"/>
  <c r="E142" i="1" s="1"/>
  <c r="H141" i="1"/>
  <c r="J141" i="1" s="1"/>
  <c r="L141" i="1" s="1"/>
  <c r="G141" i="1"/>
  <c r="F141" i="1"/>
  <c r="D141" i="1"/>
  <c r="C141" i="1"/>
  <c r="E141" i="1" s="1"/>
  <c r="J140" i="1"/>
  <c r="L140" i="1" s="1"/>
  <c r="G140" i="1"/>
  <c r="H140" i="1" s="1"/>
  <c r="F140" i="1"/>
  <c r="D140" i="1"/>
  <c r="C140" i="1"/>
  <c r="E140" i="1" s="1"/>
  <c r="G139" i="1"/>
  <c r="F139" i="1"/>
  <c r="H139" i="1" s="1"/>
  <c r="J139" i="1" s="1"/>
  <c r="D139" i="1"/>
  <c r="C139" i="1"/>
  <c r="E139" i="1" s="1"/>
  <c r="G138" i="1"/>
  <c r="H138" i="1" s="1"/>
  <c r="J138" i="1" s="1"/>
  <c r="F138" i="1"/>
  <c r="E138" i="1"/>
  <c r="D138" i="1"/>
  <c r="C138" i="1"/>
  <c r="G137" i="1"/>
  <c r="F137" i="1"/>
  <c r="H137" i="1" s="1"/>
  <c r="J137" i="1" s="1"/>
  <c r="D137" i="1"/>
  <c r="E137" i="1" s="1"/>
  <c r="C137" i="1"/>
  <c r="G136" i="1"/>
  <c r="F136" i="1"/>
  <c r="H136" i="1" s="1"/>
  <c r="J136" i="1" s="1"/>
  <c r="E136" i="1"/>
  <c r="D136" i="1"/>
  <c r="C136" i="1"/>
  <c r="G131" i="1"/>
  <c r="F131" i="1"/>
  <c r="H131" i="1" s="1"/>
  <c r="I131" i="1" s="1"/>
  <c r="E131" i="1"/>
  <c r="D131" i="1"/>
  <c r="C131" i="1"/>
  <c r="K130" i="1"/>
  <c r="G130" i="1"/>
  <c r="F130" i="1"/>
  <c r="H130" i="1" s="1"/>
  <c r="I130" i="1" s="1"/>
  <c r="J130" i="1" s="1"/>
  <c r="D130" i="1"/>
  <c r="C130" i="1"/>
  <c r="E130" i="1" s="1"/>
  <c r="J129" i="1"/>
  <c r="G129" i="1"/>
  <c r="F129" i="1"/>
  <c r="H129" i="1" s="1"/>
  <c r="I129" i="1" s="1"/>
  <c r="K129" i="1" s="1"/>
  <c r="D129" i="1"/>
  <c r="C129" i="1"/>
  <c r="E129" i="1" s="1"/>
  <c r="G128" i="1"/>
  <c r="F128" i="1"/>
  <c r="H128" i="1" s="1"/>
  <c r="D128" i="1"/>
  <c r="C128" i="1"/>
  <c r="E128" i="1" s="1"/>
  <c r="I128" i="1" s="1"/>
  <c r="J127" i="1"/>
  <c r="H127" i="1"/>
  <c r="I127" i="1" s="1"/>
  <c r="K127" i="1" s="1"/>
  <c r="G127" i="1"/>
  <c r="F127" i="1"/>
  <c r="D127" i="1"/>
  <c r="C127" i="1"/>
  <c r="E127" i="1" s="1"/>
  <c r="G126" i="1"/>
  <c r="H126" i="1" s="1"/>
  <c r="I126" i="1" s="1"/>
  <c r="F126" i="1"/>
  <c r="D126" i="1"/>
  <c r="C126" i="1"/>
  <c r="E126" i="1" s="1"/>
  <c r="G125" i="1"/>
  <c r="F125" i="1"/>
  <c r="H125" i="1" s="1"/>
  <c r="I125" i="1" s="1"/>
  <c r="D125" i="1"/>
  <c r="C125" i="1"/>
  <c r="E125" i="1" s="1"/>
  <c r="G124" i="1"/>
  <c r="H124" i="1" s="1"/>
  <c r="I124" i="1" s="1"/>
  <c r="F124" i="1"/>
  <c r="E124" i="1"/>
  <c r="D124" i="1"/>
  <c r="C124" i="1"/>
  <c r="G123" i="1"/>
  <c r="F123" i="1"/>
  <c r="H123" i="1" s="1"/>
  <c r="I123" i="1" s="1"/>
  <c r="D123" i="1"/>
  <c r="E123" i="1" s="1"/>
  <c r="C123" i="1"/>
  <c r="G122" i="1"/>
  <c r="F122" i="1"/>
  <c r="H122" i="1" s="1"/>
  <c r="I122" i="1" s="1"/>
  <c r="E122" i="1"/>
  <c r="D122" i="1"/>
  <c r="C122" i="1"/>
  <c r="G121" i="1"/>
  <c r="F121" i="1"/>
  <c r="H121" i="1" s="1"/>
  <c r="D121" i="1"/>
  <c r="E121" i="1" s="1"/>
  <c r="C121" i="1"/>
  <c r="G120" i="1"/>
  <c r="F120" i="1"/>
  <c r="H120" i="1" s="1"/>
  <c r="D120" i="1"/>
  <c r="C120" i="1"/>
  <c r="E120" i="1" s="1"/>
  <c r="G119" i="1"/>
  <c r="F119" i="1"/>
  <c r="H119" i="1" s="1"/>
  <c r="D119" i="1"/>
  <c r="C119" i="1"/>
  <c r="E119" i="1" s="1"/>
  <c r="G118" i="1"/>
  <c r="F118" i="1"/>
  <c r="H118" i="1" s="1"/>
  <c r="I118" i="1" s="1"/>
  <c r="D118" i="1"/>
  <c r="C118" i="1"/>
  <c r="E118" i="1" s="1"/>
  <c r="G109" i="1"/>
  <c r="E109" i="1"/>
  <c r="D109" i="1"/>
  <c r="F109" i="1" s="1"/>
  <c r="C109" i="1"/>
  <c r="G108" i="1"/>
  <c r="E108" i="1"/>
  <c r="D108" i="1"/>
  <c r="C108" i="1"/>
  <c r="G107" i="1"/>
  <c r="E107" i="1"/>
  <c r="D107" i="1"/>
  <c r="F107" i="1" s="1"/>
  <c r="C107" i="1"/>
  <c r="G106" i="1"/>
  <c r="E106" i="1"/>
  <c r="D106" i="1"/>
  <c r="F106" i="1" s="1"/>
  <c r="C106" i="1"/>
  <c r="G105" i="1"/>
  <c r="E105" i="1"/>
  <c r="D105" i="1"/>
  <c r="F105" i="1" s="1"/>
  <c r="C105" i="1"/>
  <c r="G104" i="1"/>
  <c r="E104" i="1"/>
  <c r="F104" i="1" s="1"/>
  <c r="D104" i="1"/>
  <c r="C104" i="1"/>
  <c r="K103" i="1"/>
  <c r="L103" i="1" s="1"/>
  <c r="J103" i="1"/>
  <c r="M103" i="1" s="1"/>
  <c r="O103" i="1" s="1"/>
  <c r="I103" i="1"/>
  <c r="G103" i="1"/>
  <c r="F103" i="1"/>
  <c r="E103" i="1"/>
  <c r="D103" i="1"/>
  <c r="C103" i="1"/>
  <c r="K102" i="1"/>
  <c r="L102" i="1" s="1"/>
  <c r="I102" i="1"/>
  <c r="J102" i="1" s="1"/>
  <c r="M102" i="1" s="1"/>
  <c r="O102" i="1" s="1"/>
  <c r="G102" i="1"/>
  <c r="F102" i="1"/>
  <c r="E102" i="1"/>
  <c r="D102" i="1"/>
  <c r="C102" i="1"/>
  <c r="K101" i="1"/>
  <c r="L101" i="1" s="1"/>
  <c r="I101" i="1"/>
  <c r="J101" i="1" s="1"/>
  <c r="M101" i="1" s="1"/>
  <c r="O101" i="1" s="1"/>
  <c r="G101" i="1"/>
  <c r="E101" i="1"/>
  <c r="D101" i="1"/>
  <c r="F101" i="1" s="1"/>
  <c r="C101" i="1"/>
  <c r="K100" i="1"/>
  <c r="L100" i="1" s="1"/>
  <c r="G100" i="1"/>
  <c r="E100" i="1"/>
  <c r="D100" i="1"/>
  <c r="F100" i="1" s="1"/>
  <c r="C100" i="1"/>
  <c r="G99" i="1"/>
  <c r="E99" i="1"/>
  <c r="D99" i="1"/>
  <c r="F99" i="1" s="1"/>
  <c r="I99" i="1" s="1"/>
  <c r="J99" i="1" s="1"/>
  <c r="C99" i="1"/>
  <c r="G98" i="1"/>
  <c r="E98" i="1"/>
  <c r="D98" i="1"/>
  <c r="F98" i="1" s="1"/>
  <c r="C98" i="1"/>
  <c r="G97" i="1"/>
  <c r="E97" i="1"/>
  <c r="D97" i="1"/>
  <c r="F97" i="1" s="1"/>
  <c r="C97" i="1"/>
  <c r="G96" i="1"/>
  <c r="E96" i="1"/>
  <c r="D96" i="1"/>
  <c r="F96" i="1" s="1"/>
  <c r="C96" i="1"/>
  <c r="G84" i="1"/>
  <c r="F84" i="1"/>
  <c r="D84" i="1"/>
  <c r="C84" i="1"/>
  <c r="E84" i="1" s="1"/>
  <c r="G83" i="1"/>
  <c r="F83" i="1"/>
  <c r="H83" i="1" s="1"/>
  <c r="J83" i="1" s="1"/>
  <c r="K83" i="1" s="1"/>
  <c r="E83" i="1"/>
  <c r="D83" i="1"/>
  <c r="C83" i="1"/>
  <c r="G82" i="1"/>
  <c r="F82" i="1"/>
  <c r="D82" i="1"/>
  <c r="C82" i="1"/>
  <c r="E82" i="1" s="1"/>
  <c r="G81" i="1"/>
  <c r="F81" i="1"/>
  <c r="D81" i="1"/>
  <c r="H81" i="1" s="1"/>
  <c r="J81" i="1" s="1"/>
  <c r="C81" i="1"/>
  <c r="E81" i="1" s="1"/>
  <c r="H80" i="1"/>
  <c r="J80" i="1" s="1"/>
  <c r="G80" i="1"/>
  <c r="F80" i="1"/>
  <c r="D80" i="1"/>
  <c r="C80" i="1"/>
  <c r="E80" i="1" s="1"/>
  <c r="G79" i="1"/>
  <c r="H79" i="1" s="1"/>
  <c r="J79" i="1" s="1"/>
  <c r="F79" i="1"/>
  <c r="D79" i="1"/>
  <c r="C79" i="1"/>
  <c r="E79" i="1" s="1"/>
  <c r="G78" i="1"/>
  <c r="F78" i="1"/>
  <c r="H78" i="1" s="1"/>
  <c r="J78" i="1" s="1"/>
  <c r="E78" i="1"/>
  <c r="D78" i="1"/>
  <c r="C78" i="1"/>
  <c r="J77" i="1"/>
  <c r="H77" i="1"/>
  <c r="G77" i="1"/>
  <c r="F77" i="1"/>
  <c r="E77" i="1"/>
  <c r="D77" i="1"/>
  <c r="C77" i="1"/>
  <c r="G76" i="1"/>
  <c r="F76" i="1"/>
  <c r="H76" i="1" s="1"/>
  <c r="J76" i="1" s="1"/>
  <c r="E76" i="1"/>
  <c r="D76" i="1"/>
  <c r="C76" i="1"/>
  <c r="G75" i="1"/>
  <c r="F75" i="1"/>
  <c r="H75" i="1" s="1"/>
  <c r="J75" i="1" s="1"/>
  <c r="D75" i="1"/>
  <c r="C75" i="1"/>
  <c r="E75" i="1" s="1"/>
  <c r="G74" i="1"/>
  <c r="F74" i="1"/>
  <c r="H74" i="1" s="1"/>
  <c r="J74" i="1" s="1"/>
  <c r="E74" i="1"/>
  <c r="D74" i="1"/>
  <c r="C74" i="1"/>
  <c r="G73" i="1"/>
  <c r="F73" i="1"/>
  <c r="D73" i="1"/>
  <c r="C73" i="1"/>
  <c r="E73" i="1" s="1"/>
  <c r="G72" i="1"/>
  <c r="F72" i="1"/>
  <c r="D72" i="1"/>
  <c r="C72" i="1"/>
  <c r="E72" i="1" s="1"/>
  <c r="J71" i="1"/>
  <c r="K71" i="1" s="1"/>
  <c r="G71" i="1"/>
  <c r="F71" i="1"/>
  <c r="D71" i="1"/>
  <c r="H71" i="1" s="1"/>
  <c r="C71" i="1"/>
  <c r="E71" i="1" s="1"/>
  <c r="H66" i="1"/>
  <c r="I66" i="1" s="1"/>
  <c r="G66" i="1"/>
  <c r="F66" i="1"/>
  <c r="D66" i="1"/>
  <c r="C66" i="1"/>
  <c r="E66" i="1" s="1"/>
  <c r="G65" i="1"/>
  <c r="H65" i="1" s="1"/>
  <c r="I65" i="1" s="1"/>
  <c r="F65" i="1"/>
  <c r="D65" i="1"/>
  <c r="C65" i="1"/>
  <c r="E65" i="1" s="1"/>
  <c r="G64" i="1"/>
  <c r="F64" i="1"/>
  <c r="H64" i="1" s="1"/>
  <c r="I64" i="1" s="1"/>
  <c r="E64" i="1"/>
  <c r="D64" i="1"/>
  <c r="C64" i="1"/>
  <c r="I63" i="1"/>
  <c r="K63" i="1" s="1"/>
  <c r="H63" i="1"/>
  <c r="G63" i="1"/>
  <c r="F63" i="1"/>
  <c r="E63" i="1"/>
  <c r="D63" i="1"/>
  <c r="C63" i="1"/>
  <c r="G62" i="1"/>
  <c r="F62" i="1"/>
  <c r="H62" i="1" s="1"/>
  <c r="I62" i="1" s="1"/>
  <c r="E62" i="1"/>
  <c r="D62" i="1"/>
  <c r="C62" i="1"/>
  <c r="G61" i="1"/>
  <c r="F61" i="1"/>
  <c r="H61" i="1" s="1"/>
  <c r="D61" i="1"/>
  <c r="C61" i="1"/>
  <c r="E61" i="1" s="1"/>
  <c r="G60" i="1"/>
  <c r="F60" i="1"/>
  <c r="D60" i="1"/>
  <c r="C60" i="1"/>
  <c r="E60" i="1" s="1"/>
  <c r="G59" i="1"/>
  <c r="F59" i="1"/>
  <c r="H59" i="1" s="1"/>
  <c r="D59" i="1"/>
  <c r="C59" i="1"/>
  <c r="E59" i="1" s="1"/>
  <c r="G58" i="1"/>
  <c r="F58" i="1"/>
  <c r="H58" i="1" s="1"/>
  <c r="D58" i="1"/>
  <c r="C58" i="1"/>
  <c r="E58" i="1" s="1"/>
  <c r="I57" i="1"/>
  <c r="K57" i="1" s="1"/>
  <c r="H57" i="1"/>
  <c r="G57" i="1"/>
  <c r="F57" i="1"/>
  <c r="D57" i="1"/>
  <c r="C57" i="1"/>
  <c r="E57" i="1" s="1"/>
  <c r="H56" i="1"/>
  <c r="I56" i="1" s="1"/>
  <c r="G56" i="1"/>
  <c r="F56" i="1"/>
  <c r="D56" i="1"/>
  <c r="C56" i="1"/>
  <c r="E56" i="1" s="1"/>
  <c r="G55" i="1"/>
  <c r="H55" i="1" s="1"/>
  <c r="I55" i="1" s="1"/>
  <c r="F55" i="1"/>
  <c r="D55" i="1"/>
  <c r="C55" i="1"/>
  <c r="E55" i="1" s="1"/>
  <c r="G54" i="1"/>
  <c r="F54" i="1"/>
  <c r="H54" i="1" s="1"/>
  <c r="I54" i="1" s="1"/>
  <c r="E54" i="1"/>
  <c r="D54" i="1"/>
  <c r="C54" i="1"/>
  <c r="G53" i="1"/>
  <c r="F53" i="1"/>
  <c r="H53" i="1" s="1"/>
  <c r="I53" i="1" s="1"/>
  <c r="E53" i="1"/>
  <c r="D53" i="1"/>
  <c r="C53" i="1"/>
  <c r="K138" i="1" l="1"/>
  <c r="L138" i="1"/>
  <c r="J126" i="1"/>
  <c r="K126" i="1"/>
  <c r="L149" i="1"/>
  <c r="K149" i="1"/>
  <c r="L80" i="1"/>
  <c r="K80" i="1"/>
  <c r="J64" i="1"/>
  <c r="K64" i="1"/>
  <c r="L139" i="1"/>
  <c r="K139" i="1"/>
  <c r="K137" i="1"/>
  <c r="L137" i="1"/>
  <c r="L79" i="1"/>
  <c r="K79" i="1"/>
  <c r="K105" i="1"/>
  <c r="L105" i="1" s="1"/>
  <c r="I105" i="1"/>
  <c r="J105" i="1" s="1"/>
  <c r="M105" i="1" s="1"/>
  <c r="O105" i="1" s="1"/>
  <c r="K54" i="1"/>
  <c r="J54" i="1"/>
  <c r="K118" i="1"/>
  <c r="J118" i="1"/>
  <c r="K65" i="1"/>
  <c r="J65" i="1"/>
  <c r="J123" i="1"/>
  <c r="K123" i="1"/>
  <c r="J62" i="1"/>
  <c r="K62" i="1"/>
  <c r="L81" i="1"/>
  <c r="K81" i="1"/>
  <c r="K104" i="1"/>
  <c r="L104" i="1" s="1"/>
  <c r="I104" i="1"/>
  <c r="J104" i="1" s="1"/>
  <c r="M104" i="1" s="1"/>
  <c r="O104" i="1" s="1"/>
  <c r="L75" i="1"/>
  <c r="K75" i="1"/>
  <c r="I61" i="1"/>
  <c r="K125" i="1"/>
  <c r="J125" i="1"/>
  <c r="K76" i="1"/>
  <c r="L76" i="1"/>
  <c r="J128" i="1"/>
  <c r="K128" i="1"/>
  <c r="L78" i="1"/>
  <c r="K78" i="1"/>
  <c r="J66" i="1"/>
  <c r="K66" i="1"/>
  <c r="L147" i="1"/>
  <c r="K147" i="1"/>
  <c r="K97" i="1"/>
  <c r="L97" i="1" s="1"/>
  <c r="I97" i="1"/>
  <c r="J97" i="1" s="1"/>
  <c r="K124" i="1"/>
  <c r="J124" i="1"/>
  <c r="J56" i="1"/>
  <c r="K56" i="1"/>
  <c r="K165" i="1"/>
  <c r="L165" i="1" s="1"/>
  <c r="I165" i="1"/>
  <c r="J165" i="1" s="1"/>
  <c r="M165" i="1" s="1"/>
  <c r="O165" i="1" s="1"/>
  <c r="K53" i="1"/>
  <c r="J53" i="1"/>
  <c r="J55" i="1"/>
  <c r="K55" i="1"/>
  <c r="K96" i="1"/>
  <c r="L96" i="1" s="1"/>
  <c r="I96" i="1"/>
  <c r="J96" i="1" s="1"/>
  <c r="M96" i="1" s="1"/>
  <c r="O96" i="1" s="1"/>
  <c r="K106" i="1"/>
  <c r="L106" i="1" s="1"/>
  <c r="I106" i="1"/>
  <c r="J106" i="1" s="1"/>
  <c r="M106" i="1" s="1"/>
  <c r="O106" i="1" s="1"/>
  <c r="L148" i="1"/>
  <c r="K148" i="1"/>
  <c r="K166" i="1"/>
  <c r="L166" i="1" s="1"/>
  <c r="I166" i="1"/>
  <c r="J166" i="1" s="1"/>
  <c r="M166" i="1" s="1"/>
  <c r="O166" i="1" s="1"/>
  <c r="K167" i="1"/>
  <c r="L167" i="1" s="1"/>
  <c r="I167" i="1"/>
  <c r="J167" i="1" s="1"/>
  <c r="L74" i="1"/>
  <c r="K74" i="1"/>
  <c r="I119" i="1"/>
  <c r="K141" i="1"/>
  <c r="H143" i="1"/>
  <c r="J143" i="1" s="1"/>
  <c r="I162" i="1"/>
  <c r="J162" i="1" s="1"/>
  <c r="M162" i="1" s="1"/>
  <c r="O162" i="1" s="1"/>
  <c r="I169" i="1"/>
  <c r="J169" i="1" s="1"/>
  <c r="K169" i="1"/>
  <c r="L169" i="1" s="1"/>
  <c r="I109" i="1"/>
  <c r="J109" i="1" s="1"/>
  <c r="M109" i="1" s="1"/>
  <c r="O109" i="1" s="1"/>
  <c r="K140" i="1"/>
  <c r="K161" i="1"/>
  <c r="L161" i="1" s="1"/>
  <c r="L77" i="1"/>
  <c r="K77" i="1"/>
  <c r="L146" i="1"/>
  <c r="K146" i="1"/>
  <c r="J57" i="1"/>
  <c r="J63" i="1"/>
  <c r="L71" i="1"/>
  <c r="M161" i="1"/>
  <c r="O161" i="1" s="1"/>
  <c r="H72" i="1"/>
  <c r="J72" i="1" s="1"/>
  <c r="H84" i="1"/>
  <c r="J84" i="1" s="1"/>
  <c r="I164" i="1"/>
  <c r="J164" i="1" s="1"/>
  <c r="M164" i="1" s="1"/>
  <c r="O164" i="1" s="1"/>
  <c r="I168" i="1"/>
  <c r="J168" i="1" s="1"/>
  <c r="M168" i="1" s="1"/>
  <c r="O168" i="1" s="1"/>
  <c r="K174" i="1"/>
  <c r="L174" i="1" s="1"/>
  <c r="I174" i="1"/>
  <c r="J174" i="1" s="1"/>
  <c r="M174" i="1" s="1"/>
  <c r="O174" i="1" s="1"/>
  <c r="L136" i="1"/>
  <c r="K136" i="1"/>
  <c r="L83" i="1"/>
  <c r="K99" i="1"/>
  <c r="L99" i="1" s="1"/>
  <c r="M99" i="1" s="1"/>
  <c r="O99" i="1" s="1"/>
  <c r="H82" i="1"/>
  <c r="J82" i="1" s="1"/>
  <c r="I121" i="1"/>
  <c r="K131" i="1"/>
  <c r="J131" i="1"/>
  <c r="L145" i="1"/>
  <c r="K145" i="1"/>
  <c r="I100" i="1"/>
  <c r="J100" i="1" s="1"/>
  <c r="M100" i="1" s="1"/>
  <c r="O100" i="1" s="1"/>
  <c r="K163" i="1"/>
  <c r="L163" i="1" s="1"/>
  <c r="M163" i="1" s="1"/>
  <c r="O163" i="1" s="1"/>
  <c r="K122" i="1"/>
  <c r="J122" i="1"/>
  <c r="I59" i="1"/>
  <c r="K98" i="1"/>
  <c r="L98" i="1" s="1"/>
  <c r="I98" i="1"/>
  <c r="J98" i="1" s="1"/>
  <c r="M98" i="1" s="1"/>
  <c r="O98" i="1" s="1"/>
  <c r="H73" i="1"/>
  <c r="J73" i="1" s="1"/>
  <c r="K107" i="1"/>
  <c r="L107" i="1" s="1"/>
  <c r="M170" i="1"/>
  <c r="O170" i="1" s="1"/>
  <c r="I58" i="1"/>
  <c r="H60" i="1"/>
  <c r="I60" i="1" s="1"/>
  <c r="F108" i="1"/>
  <c r="I108" i="1" s="1"/>
  <c r="J108" i="1" s="1"/>
  <c r="K109" i="1"/>
  <c r="L109" i="1" s="1"/>
  <c r="I120" i="1"/>
  <c r="I171" i="1"/>
  <c r="J171" i="1" s="1"/>
  <c r="M171" i="1" s="1"/>
  <c r="O171" i="1" s="1"/>
  <c r="I107" i="1"/>
  <c r="J107" i="1" s="1"/>
  <c r="M169" i="1" l="1"/>
  <c r="O169" i="1" s="1"/>
  <c r="K108" i="1"/>
  <c r="L108" i="1" s="1"/>
  <c r="M108" i="1" s="1"/>
  <c r="O108" i="1" s="1"/>
  <c r="L143" i="1"/>
  <c r="K143" i="1"/>
  <c r="K61" i="1"/>
  <c r="J61" i="1"/>
  <c r="K119" i="1"/>
  <c r="J119" i="1"/>
  <c r="K121" i="1"/>
  <c r="J121" i="1"/>
  <c r="M107" i="1"/>
  <c r="O107" i="1" s="1"/>
  <c r="J120" i="1"/>
  <c r="K120" i="1"/>
  <c r="J59" i="1"/>
  <c r="K59" i="1"/>
  <c r="L82" i="1"/>
  <c r="K82" i="1"/>
  <c r="L84" i="1"/>
  <c r="K84" i="1"/>
  <c r="K60" i="1"/>
  <c r="J60" i="1"/>
  <c r="K58" i="1"/>
  <c r="J58" i="1"/>
  <c r="K73" i="1"/>
  <c r="L73" i="1"/>
  <c r="K72" i="1"/>
  <c r="L72" i="1"/>
  <c r="M167" i="1"/>
  <c r="O167" i="1" s="1"/>
  <c r="M97" i="1"/>
  <c r="O97" i="1" s="1"/>
</calcChain>
</file>

<file path=xl/sharedStrings.xml><?xml version="1.0" encoding="utf-8"?>
<sst xmlns="http://schemas.openxmlformats.org/spreadsheetml/2006/main" count="355" uniqueCount="116">
  <si>
    <t>Mallonee Farm — Baseline Site Characterisation &amp; Equivalence Analysis
Raw Values</t>
  </si>
  <si>
    <t>Data: ALS LR25329328 (baseline, pre-application, Nov 2025)  |  Raw oxide values as reported — no LOI normalisation applied in this tab  |  Mirrors approach used by Dr. Trindade Pedrosa (CDRexperts, Apr 2026)</t>
  </si>
  <si>
    <t>SECTION 1 — Raw Data  |  Treatment_z vs Control_z (Paired Transect)</t>
  </si>
  <si>
    <t>Sample</t>
  </si>
  <si>
    <t>SiO2</t>
  </si>
  <si>
    <t>Al2O3</t>
  </si>
  <si>
    <t>Fe2O3</t>
  </si>
  <si>
    <t>CaO</t>
  </si>
  <si>
    <t>MgO</t>
  </si>
  <si>
    <t>Na2O</t>
  </si>
  <si>
    <t>K2O</t>
  </si>
  <si>
    <t>Cr2O3</t>
  </si>
  <si>
    <t>TiO2</t>
  </si>
  <si>
    <t>MnO</t>
  </si>
  <si>
    <t>P2O5</t>
  </si>
  <si>
    <t>SrO</t>
  </si>
  <si>
    <t>BaO</t>
  </si>
  <si>
    <t>LOI</t>
  </si>
  <si>
    <t>Total (%)</t>
  </si>
  <si>
    <t>Treatment — Treatment_z (n=10)</t>
  </si>
  <si>
    <t>Treatment_z1</t>
  </si>
  <si>
    <t>Treatment_z2</t>
  </si>
  <si>
    <t>Treatment_z3</t>
  </si>
  <si>
    <t>Treatment_z4</t>
  </si>
  <si>
    <t>Treatment_z5</t>
  </si>
  <si>
    <t>Treatment_z6</t>
  </si>
  <si>
    <t>Treatment_z7</t>
  </si>
  <si>
    <t>Treatment_z8</t>
  </si>
  <si>
    <t>Treatment_z9</t>
  </si>
  <si>
    <t>Treatment_z10</t>
  </si>
  <si>
    <t>Control — Control_z (Paired Transect) (n=10)</t>
  </si>
  <si>
    <t>Control_z1</t>
  </si>
  <si>
    <t>Control_z2</t>
  </si>
  <si>
    <t>Control_z3</t>
  </si>
  <si>
    <t>Control_z4</t>
  </si>
  <si>
    <t>Control_z5</t>
  </si>
  <si>
    <t>Control_z6</t>
  </si>
  <si>
    <t>Control_z7</t>
  </si>
  <si>
    <t>Control_z8</t>
  </si>
  <si>
    <t>Control_z9</t>
  </si>
  <si>
    <t>Control_z10</t>
  </si>
  <si>
    <t>SECTION 1b — Raw Data  |  Treatment Interior vs Control Interior (Random)</t>
  </si>
  <si>
    <t>Treatment Interior (n=7)</t>
  </si>
  <si>
    <t>Treatment_1</t>
  </si>
  <si>
    <t>Treatment_2</t>
  </si>
  <si>
    <t>Treatment_3</t>
  </si>
  <si>
    <t>Treatment_4</t>
  </si>
  <si>
    <t>Treatment_5</t>
  </si>
  <si>
    <t>Treatment_6</t>
  </si>
  <si>
    <t>Treatment_7</t>
  </si>
  <si>
    <t>Control Interior (n=5)</t>
  </si>
  <si>
    <t>Control1</t>
  </si>
  <si>
    <t>Control2</t>
  </si>
  <si>
    <t>Control3</t>
  </si>
  <si>
    <t>Control4</t>
  </si>
  <si>
    <t>Control5</t>
  </si>
  <si>
    <t>SECTION 2 — Statistical Analysis  |  GROUP 1: Treatment_z vs Control_z (Paired Transect)  (n=10 Treatment vs n=10 Control)  |  df = 18</t>
  </si>
  <si>
    <t>GROUP 1 = Treatment_z vs Control_z (Paired Transect). These samples are positioned along the treatment/control dividing line and were explicitly designed as matched baseline pairs. This is the primary comparison for Rainbow SMD compliance.</t>
  </si>
  <si>
    <t>Group 1 Statistical Tests  |  Treatment_z vs Control_z (Paired Transect)  |  df = 18</t>
  </si>
  <si>
    <t>2a — SMD  |  Rainbow threshold: SMD &lt; 10%  |  Formula: |mean_T − mean_C| / pooled_SD × 100</t>
  </si>
  <si>
    <t>Element</t>
  </si>
  <si>
    <t>Role</t>
  </si>
  <si>
    <t>Mean T</t>
  </si>
  <si>
    <t>Mean C</t>
  </si>
  <si>
    <t>Abs Diff</t>
  </si>
  <si>
    <t>SD T</t>
  </si>
  <si>
    <t>SD C</t>
  </si>
  <si>
    <t>Pooled SD</t>
  </si>
  <si>
    <t>SMD (%)</t>
  </si>
  <si>
    <t>Status</t>
  </si>
  <si>
    <t>Interpretation</t>
  </si>
  <si>
    <t>matrix / silica</t>
  </si>
  <si>
    <t>lithology indicator</t>
  </si>
  <si>
    <t>mineralogy</t>
  </si>
  <si>
    <t>base cation</t>
  </si>
  <si>
    <t>PRIMARY ERW tracer</t>
  </si>
  <si>
    <t>heavy metal monitor</t>
  </si>
  <si>
    <t>redox indicator</t>
  </si>
  <si>
    <t>nutrient indicator</t>
  </si>
  <si>
    <t>trace</t>
  </si>
  <si>
    <t>organic matter proxy</t>
  </si>
  <si>
    <t>⚠  SMD caveat: very low within-group SD inflates SMD even when absolute differences are negligible (homogeneous site paradox — acknowledged by Dr. Trindade Pedrosa). Always read SMD alongside Abs Diff and the t-test p-value below.</t>
  </si>
  <si>
    <t>2b — Two-Sided t-Test  |  H₀: group means equal  |  TDIST(ABS(t), df, 2)  |  Significant if p &lt; 0.05</t>
  </si>
  <si>
    <t>Mean Diff</t>
  </si>
  <si>
    <t>t statistic</t>
  </si>
  <si>
    <t>df=18</t>
  </si>
  <si>
    <t>p-value
(two-sided)</t>
  </si>
  <si>
    <t>Sig α=0.05?</t>
  </si>
  <si>
    <t>2c — TOST (Equivalence Test, Schuirmann 1987)  |  Demonstrates groups are practically equivalent when TOST p &lt; 0.05  |  Yellow % cells are adjustable</t>
  </si>
  <si>
    <t>TOST tests whether the mean difference lies within [−Δ, +Δ]. TOST p = MAX(p_lower, p_upper). If TOST p &lt; α, equivalence is demonstrated — i.e. any difference is smaller than Δ. This is the two-sided equivalence test requested by Dr. Trindade Pedrosa. For sites with very low within-group SD, TOST provides a more informative result than SMD alone.</t>
  </si>
  <si>
    <t>Equivalence Bounds  (change yellow % to adjust — Δ auto-calculated per element grand mean)</t>
  </si>
  <si>
    <t>Bound name</t>
  </si>
  <si>
    <t>% of grand mean</t>
  </si>
  <si>
    <t>Justification</t>
  </si>
  <si>
    <t>Tight (5%)</t>
  </si>
  <si>
    <t>Conservative — tighter than typical ERW field variability</t>
  </si>
  <si>
    <t>Standard (10%)</t>
  </si>
  <si>
    <t>Aligns with spirit of Rainbow SMD &lt; 10% threshold</t>
  </si>
  <si>
    <t>Relaxed (15%)</t>
  </si>
  <si>
    <t>Equivalent to typical soil oxide analytical uncertainty</t>
  </si>
  <si>
    <t>TOST Results — Standard (10%) bound — All Elements</t>
  </si>
  <si>
    <t>Δ (abs)</t>
  </si>
  <si>
    <t>Diff (T−C)</t>
  </si>
  <si>
    <t>SE</t>
  </si>
  <si>
    <t>t_lower
(diff+Δ)/SE</t>
  </si>
  <si>
    <t>p_lower
TDIST(t_lo,df,1)</t>
  </si>
  <si>
    <t>t_upper
(diff−Δ)/SE</t>
  </si>
  <si>
    <t>p_upper
TDIST(|t_up|,df,1)</t>
  </si>
  <si>
    <t>TOST p
MAX(p_lo,p_up)</t>
  </si>
  <si>
    <t>α</t>
  </si>
  <si>
    <t>Result</t>
  </si>
  <si>
    <t>SECTION 3 — Statistical Analysis  |  GROUP 2: Treatment Interior vs Control Interior (Random)  (n=7 Treatment vs n=5 Control)  |  df = 10</t>
  </si>
  <si>
    <t>GROUP 2 = Treatment Interior vs Control Interior (Random). These are randomly placed interior samples serving a spatial coverage and power analysis purpose — they were NOT designed as matched pairs. Significant differences may reflect the known west-to-east LOI and mineral gradient documented in the site characterisation report. Dr. Trindade Pedrosa's spreadsheet highlights several significant differences here (MgO p=0.019, Fe2O3 p=0.018, TiO2 p&lt;0.001). These should be addressed explicitly with reference to the gradient.</t>
  </si>
  <si>
    <t>Group 2 Statistical Tests  |  Treatment Interior vs Control Interior (Random)  |  df = 10</t>
  </si>
  <si>
    <t>df=10</t>
  </si>
  <si>
    <t>Data: ALS LR25329328  |  Methods: SMD (Rainbow Standard v1), two-sided t-test TDIST(ABS(t),df,2), TOST (Schuirmann 1987) TDIST(t,df,1)  |  Prepared: Basic Dust SPC Inc / Goal300  |  Reviewer reference: Dr. Trindade Pedrosa, CDRexperts,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</si>
</sst>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rgb="FF1A3A5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3D007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i/>
      <sz val="14"/>
      <color theme="3" tint="-0.249977111117893"/>
      <name val="Calibri (Body)"/>
    </font>
    <font>
      <b/>
      <i/>
      <sz val="14"/>
      <color rgb="FF375623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2"/>
      <color theme="3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A5A8A"/>
        <bgColor rgb="FF2E75B6"/>
      </patternFill>
    </fill>
    <fill>
      <patternFill patternType="solid">
        <fgColor rgb="FFD9E1F2"/>
        <bgColor rgb="FFDEEAF1"/>
      </patternFill>
    </fill>
    <fill>
      <patternFill patternType="solid">
        <fgColor rgb="FFBDD7EE"/>
        <bgColor rgb="FFD9E1F2"/>
      </patternFill>
    </fill>
    <fill>
      <patternFill patternType="solid">
        <fgColor rgb="FF2E75B6"/>
        <bgColor rgb="FF1A5A8A"/>
      </patternFill>
    </fill>
    <fill>
      <patternFill patternType="solid">
        <fgColor rgb="FFDEEAF1"/>
        <bgColor rgb="FFD9E1F2"/>
      </patternFill>
    </fill>
    <fill>
      <patternFill patternType="solid">
        <fgColor rgb="FF375623"/>
        <bgColor rgb="FF555555"/>
      </patternFill>
    </fill>
    <fill>
      <patternFill patternType="solid">
        <fgColor rgb="FFE2EFDA"/>
        <bgColor rgb="FFDEEAF1"/>
      </patternFill>
    </fill>
    <fill>
      <patternFill patternType="solid">
        <fgColor rgb="FF1F3864"/>
        <bgColor rgb="FF1A3A5A"/>
      </patternFill>
    </fill>
    <fill>
      <patternFill patternType="solid">
        <fgColor rgb="FFFFF2CC"/>
        <bgColor rgb="FFFCE4D6"/>
      </patternFill>
    </fill>
    <fill>
      <patternFill patternType="solid">
        <fgColor rgb="FFEAD1FF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2EFDA"/>
      </patternFill>
    </fill>
    <fill>
      <patternFill patternType="solid">
        <fgColor theme="8" tint="-0.249977111117893"/>
        <bgColor rgb="FF993366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165" fontId="9" fillId="10" borderId="1" xfId="0" applyNumberFormat="1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/>
    </xf>
    <xf numFmtId="9" fontId="13" fillId="13" borderId="1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left" wrapText="1"/>
    </xf>
    <xf numFmtId="165" fontId="9" fillId="6" borderId="1" xfId="0" applyNumberFormat="1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166" fontId="9" fillId="10" borderId="1" xfId="0" applyNumberFormat="1" applyFont="1" applyFill="1" applyBorder="1" applyAlignment="1">
      <alignment horizontal="center"/>
    </xf>
    <xf numFmtId="166" fontId="10" fillId="10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165" fontId="9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165" fontId="10" fillId="0" borderId="1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16" fillId="0" borderId="1" xfId="0" applyFont="1" applyFill="1" applyBorder="1" applyAlignment="1">
      <alignment horizontal="left" vertical="center" wrapText="1"/>
    </xf>
    <xf numFmtId="166" fontId="9" fillId="0" borderId="1" xfId="0" applyNumberFormat="1" applyFont="1" applyFill="1" applyBorder="1" applyAlignment="1">
      <alignment horizontal="center"/>
    </xf>
    <xf numFmtId="166" fontId="10" fillId="0" borderId="1" xfId="0" applyNumberFormat="1" applyFont="1" applyFill="1" applyBorder="1" applyAlignment="1">
      <alignment horizontal="center"/>
    </xf>
    <xf numFmtId="0" fontId="17" fillId="15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165" fontId="9" fillId="14" borderId="1" xfId="0" applyNumberFormat="1" applyFont="1" applyFill="1" applyBorder="1" applyAlignment="1">
      <alignment horizontal="center"/>
    </xf>
    <xf numFmtId="2" fontId="10" fillId="14" borderId="1" xfId="0" applyNumberFormat="1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left" wrapText="1"/>
    </xf>
    <xf numFmtId="0" fontId="6" fillId="16" borderId="1" xfId="0" applyFont="1" applyFill="1" applyBorder="1" applyAlignment="1">
      <alignment horizontal="left" vertical="center"/>
    </xf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7030A0"/>
      <rgbColor rgb="FFFFF2CC"/>
      <rgbColor rgb="FFDEEAF1"/>
      <rgbColor rgb="FF3D0070"/>
      <rgbColor rgb="FFFF8080"/>
      <rgbColor rgb="FF1A5A8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EAD1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A3A5A"/>
      <rgbColor rgb="FF339966"/>
      <rgbColor rgb="FF003300"/>
      <rgbColor rgb="FF375623"/>
      <rgbColor rgb="FF7B3F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7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8" sqref="C78"/>
    </sheetView>
  </sheetViews>
  <sheetFormatPr baseColWidth="10" defaultColWidth="8.6640625" defaultRowHeight="15" x14ac:dyDescent="0.2"/>
  <cols>
    <col min="1" max="2" width="20" style="2" customWidth="1"/>
    <col min="3" max="7" width="11" style="2" customWidth="1"/>
    <col min="8" max="8" width="20" style="2" customWidth="1"/>
    <col min="9" max="10" width="11" style="2" customWidth="1"/>
    <col min="11" max="11" width="33" style="2" customWidth="1"/>
    <col min="12" max="12" width="23.83203125" style="2" customWidth="1"/>
    <col min="13" max="14" width="11" style="2" customWidth="1"/>
    <col min="15" max="15" width="36" style="2" customWidth="1"/>
    <col min="16" max="21" width="11" style="2" customWidth="1"/>
    <col min="22" max="16384" width="8.6640625" style="2"/>
  </cols>
  <sheetData>
    <row r="1" spans="1:20" ht="36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spans="1:20" ht="19.5" customHeight="1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31.5" customHeight="1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20" ht="15" customHeight="1" x14ac:dyDescent="0.2">
      <c r="A6" s="6" t="s">
        <v>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20" ht="15" customHeight="1" x14ac:dyDescent="0.2">
      <c r="A7" s="7" t="s">
        <v>20</v>
      </c>
      <c r="B7" s="8">
        <v>49.4</v>
      </c>
      <c r="C7" s="8">
        <v>17.7</v>
      </c>
      <c r="D7" s="8">
        <v>9.51</v>
      </c>
      <c r="E7" s="8">
        <v>1.22</v>
      </c>
      <c r="F7" s="8">
        <v>1.86</v>
      </c>
      <c r="G7" s="8">
        <v>1</v>
      </c>
      <c r="H7" s="8">
        <v>1.2</v>
      </c>
      <c r="I7" s="8">
        <v>1.6E-2</v>
      </c>
      <c r="J7" s="8">
        <v>1.5</v>
      </c>
      <c r="K7" s="8">
        <v>0.16</v>
      </c>
      <c r="L7" s="8">
        <v>0.39</v>
      </c>
      <c r="M7" s="8">
        <v>0.01</v>
      </c>
      <c r="N7" s="8">
        <v>0.06</v>
      </c>
      <c r="O7" s="8">
        <v>16.75</v>
      </c>
      <c r="P7" s="8">
        <v>100.78</v>
      </c>
    </row>
    <row r="8" spans="1:20" ht="15" customHeight="1" x14ac:dyDescent="0.2">
      <c r="A8" s="7" t="s">
        <v>21</v>
      </c>
      <c r="B8" s="8">
        <v>48.6</v>
      </c>
      <c r="C8" s="8">
        <v>17.45</v>
      </c>
      <c r="D8" s="8">
        <v>9.26</v>
      </c>
      <c r="E8" s="8">
        <v>1.41</v>
      </c>
      <c r="F8" s="8">
        <v>1.76</v>
      </c>
      <c r="G8" s="8">
        <v>1</v>
      </c>
      <c r="H8" s="8">
        <v>1.2</v>
      </c>
      <c r="I8" s="8">
        <v>1.6E-2</v>
      </c>
      <c r="J8" s="8">
        <v>1.47</v>
      </c>
      <c r="K8" s="8">
        <v>0.16</v>
      </c>
      <c r="L8" s="8">
        <v>0.5</v>
      </c>
      <c r="M8" s="8">
        <v>0.01</v>
      </c>
      <c r="N8" s="8">
        <v>0.06</v>
      </c>
      <c r="O8" s="8">
        <v>17.25</v>
      </c>
      <c r="P8" s="8">
        <v>100.15</v>
      </c>
    </row>
    <row r="9" spans="1:20" ht="15" customHeight="1" x14ac:dyDescent="0.2">
      <c r="A9" s="7" t="s">
        <v>22</v>
      </c>
      <c r="B9" s="8">
        <v>49.2</v>
      </c>
      <c r="C9" s="8">
        <v>17.899999999999999</v>
      </c>
      <c r="D9" s="8">
        <v>9.67</v>
      </c>
      <c r="E9" s="8">
        <v>1.28</v>
      </c>
      <c r="F9" s="8">
        <v>1.88</v>
      </c>
      <c r="G9" s="8">
        <v>0.99</v>
      </c>
      <c r="H9" s="8">
        <v>1.24</v>
      </c>
      <c r="I9" s="8">
        <v>1.7000000000000001E-2</v>
      </c>
      <c r="J9" s="8">
        <v>1.52</v>
      </c>
      <c r="K9" s="8">
        <v>0.17</v>
      </c>
      <c r="L9" s="8">
        <v>0.41</v>
      </c>
      <c r="M9" s="8">
        <v>0.01</v>
      </c>
      <c r="N9" s="8">
        <v>0.06</v>
      </c>
      <c r="O9" s="8">
        <v>15.8</v>
      </c>
      <c r="P9" s="8">
        <v>100.15</v>
      </c>
    </row>
    <row r="10" spans="1:20" ht="15" customHeight="1" x14ac:dyDescent="0.2">
      <c r="A10" s="7" t="s">
        <v>23</v>
      </c>
      <c r="B10" s="8">
        <v>49.2</v>
      </c>
      <c r="C10" s="8">
        <v>18</v>
      </c>
      <c r="D10" s="8">
        <v>9.85</v>
      </c>
      <c r="E10" s="8">
        <v>1.42</v>
      </c>
      <c r="F10" s="8">
        <v>1.88</v>
      </c>
      <c r="G10" s="8">
        <v>0.98</v>
      </c>
      <c r="H10" s="8">
        <v>1.2</v>
      </c>
      <c r="I10" s="8">
        <v>1.4999999999999999E-2</v>
      </c>
      <c r="J10" s="8">
        <v>1.52</v>
      </c>
      <c r="K10" s="8">
        <v>0.2</v>
      </c>
      <c r="L10" s="8">
        <v>0.45</v>
      </c>
      <c r="M10" s="8">
        <v>0.01</v>
      </c>
      <c r="N10" s="8">
        <v>0.06</v>
      </c>
      <c r="O10" s="8">
        <v>16.75</v>
      </c>
      <c r="P10" s="8">
        <v>101.54</v>
      </c>
    </row>
    <row r="11" spans="1:20" ht="15" customHeight="1" x14ac:dyDescent="0.2">
      <c r="A11" s="7" t="s">
        <v>24</v>
      </c>
      <c r="B11" s="8">
        <v>47.9</v>
      </c>
      <c r="C11" s="8">
        <v>16.850000000000001</v>
      </c>
      <c r="D11" s="8">
        <v>9.3000000000000007</v>
      </c>
      <c r="E11" s="8">
        <v>1.44</v>
      </c>
      <c r="F11" s="8">
        <v>1.8</v>
      </c>
      <c r="G11" s="8">
        <v>0.98</v>
      </c>
      <c r="H11" s="8">
        <v>1.22</v>
      </c>
      <c r="I11" s="8">
        <v>1.6E-2</v>
      </c>
      <c r="J11" s="8">
        <v>1.46</v>
      </c>
      <c r="K11" s="8">
        <v>0.18</v>
      </c>
      <c r="L11" s="8">
        <v>0.48</v>
      </c>
      <c r="M11" s="8">
        <v>0.01</v>
      </c>
      <c r="N11" s="8">
        <v>0.06</v>
      </c>
      <c r="O11" s="8">
        <v>16.8</v>
      </c>
      <c r="P11" s="8">
        <v>98.5</v>
      </c>
    </row>
    <row r="12" spans="1:20" ht="15" customHeight="1" x14ac:dyDescent="0.2">
      <c r="A12" s="7" t="s">
        <v>25</v>
      </c>
      <c r="B12" s="8">
        <v>47.6</v>
      </c>
      <c r="C12" s="8">
        <v>17</v>
      </c>
      <c r="D12" s="8">
        <v>9.49</v>
      </c>
      <c r="E12" s="8">
        <v>1.52</v>
      </c>
      <c r="F12" s="8">
        <v>1.86</v>
      </c>
      <c r="G12" s="8">
        <v>0.96</v>
      </c>
      <c r="H12" s="8">
        <v>1.26</v>
      </c>
      <c r="I12" s="8">
        <v>1.4999999999999999E-2</v>
      </c>
      <c r="J12" s="8">
        <v>1.48</v>
      </c>
      <c r="K12" s="8">
        <v>0.17</v>
      </c>
      <c r="L12" s="8">
        <v>0.44</v>
      </c>
      <c r="M12" s="8">
        <v>0.01</v>
      </c>
      <c r="N12" s="8">
        <v>0.06</v>
      </c>
      <c r="O12" s="8">
        <v>17.100000000000001</v>
      </c>
      <c r="P12" s="8">
        <v>98.97</v>
      </c>
    </row>
    <row r="13" spans="1:20" ht="15" customHeight="1" x14ac:dyDescent="0.2">
      <c r="A13" s="7" t="s">
        <v>26</v>
      </c>
      <c r="B13" s="8">
        <v>48</v>
      </c>
      <c r="C13" s="8">
        <v>17.149999999999999</v>
      </c>
      <c r="D13" s="8">
        <v>9.42</v>
      </c>
      <c r="E13" s="8">
        <v>1.26</v>
      </c>
      <c r="F13" s="8">
        <v>1.76</v>
      </c>
      <c r="G13" s="8">
        <v>0.97</v>
      </c>
      <c r="H13" s="8">
        <v>1.24</v>
      </c>
      <c r="I13" s="8">
        <v>1.4999999999999999E-2</v>
      </c>
      <c r="J13" s="8">
        <v>1.44</v>
      </c>
      <c r="K13" s="8">
        <v>0.2</v>
      </c>
      <c r="L13" s="8">
        <v>0.45</v>
      </c>
      <c r="M13" s="8">
        <v>0.01</v>
      </c>
      <c r="N13" s="8">
        <v>0.06</v>
      </c>
      <c r="O13" s="8">
        <v>16.899999999999999</v>
      </c>
      <c r="P13" s="8">
        <v>98.88</v>
      </c>
    </row>
    <row r="14" spans="1:20" ht="15" customHeight="1" x14ac:dyDescent="0.2">
      <c r="A14" s="7" t="s">
        <v>27</v>
      </c>
      <c r="B14" s="8">
        <v>48.1</v>
      </c>
      <c r="C14" s="8">
        <v>17.649999999999999</v>
      </c>
      <c r="D14" s="8">
        <v>9.74</v>
      </c>
      <c r="E14" s="8">
        <v>1.1599999999999999</v>
      </c>
      <c r="F14" s="8">
        <v>1.85</v>
      </c>
      <c r="G14" s="8">
        <v>0.96</v>
      </c>
      <c r="H14" s="8">
        <v>1.24</v>
      </c>
      <c r="I14" s="8">
        <v>1.4999999999999999E-2</v>
      </c>
      <c r="J14" s="8">
        <v>1.5</v>
      </c>
      <c r="K14" s="8">
        <v>0.2</v>
      </c>
      <c r="L14" s="8">
        <v>0.46</v>
      </c>
      <c r="M14" s="8">
        <v>0.01</v>
      </c>
      <c r="N14" s="8">
        <v>0.06</v>
      </c>
      <c r="O14" s="8">
        <v>17.649999999999999</v>
      </c>
      <c r="P14" s="8">
        <v>100.6</v>
      </c>
    </row>
    <row r="15" spans="1:20" ht="15" customHeight="1" x14ac:dyDescent="0.2">
      <c r="A15" s="7" t="s">
        <v>28</v>
      </c>
      <c r="B15" s="8">
        <v>46.8</v>
      </c>
      <c r="C15" s="8">
        <v>17.7</v>
      </c>
      <c r="D15" s="8">
        <v>9.75</v>
      </c>
      <c r="E15" s="8">
        <v>1.22</v>
      </c>
      <c r="F15" s="8">
        <v>1.8</v>
      </c>
      <c r="G15" s="8">
        <v>0.89</v>
      </c>
      <c r="H15" s="8">
        <v>1.1599999999999999</v>
      </c>
      <c r="I15" s="8">
        <v>1.4999999999999999E-2</v>
      </c>
      <c r="J15" s="8">
        <v>1.48</v>
      </c>
      <c r="K15" s="8">
        <v>0.19</v>
      </c>
      <c r="L15" s="8">
        <v>0.49</v>
      </c>
      <c r="M15" s="8">
        <v>0.01</v>
      </c>
      <c r="N15" s="8">
        <v>0.06</v>
      </c>
      <c r="O15" s="8">
        <v>17.05</v>
      </c>
      <c r="P15" s="8">
        <v>98.62</v>
      </c>
    </row>
    <row r="16" spans="1:20" ht="15" customHeight="1" x14ac:dyDescent="0.2">
      <c r="A16" s="7" t="s">
        <v>29</v>
      </c>
      <c r="B16" s="8">
        <v>48.3</v>
      </c>
      <c r="C16" s="8">
        <v>17.5</v>
      </c>
      <c r="D16" s="8">
        <v>9.64</v>
      </c>
      <c r="E16" s="8">
        <v>1.22</v>
      </c>
      <c r="F16" s="8">
        <v>1.78</v>
      </c>
      <c r="G16" s="8">
        <v>1</v>
      </c>
      <c r="H16" s="8">
        <v>1.18</v>
      </c>
      <c r="I16" s="8">
        <v>1.4999999999999999E-2</v>
      </c>
      <c r="J16" s="8">
        <v>1.52</v>
      </c>
      <c r="K16" s="8">
        <v>0.17</v>
      </c>
      <c r="L16" s="8">
        <v>0.46</v>
      </c>
      <c r="M16" s="8">
        <v>0.01</v>
      </c>
      <c r="N16" s="8">
        <v>0.06</v>
      </c>
      <c r="O16" s="8">
        <v>17.05</v>
      </c>
      <c r="P16" s="8">
        <v>99.91</v>
      </c>
    </row>
    <row r="17" spans="1:20" ht="15" customHeight="1" x14ac:dyDescent="0.2">
      <c r="A17" s="9" t="s">
        <v>30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20" ht="15" customHeight="1" x14ac:dyDescent="0.2">
      <c r="A18" s="10" t="s">
        <v>31</v>
      </c>
      <c r="B18" s="11">
        <v>50.1</v>
      </c>
      <c r="C18" s="11">
        <v>18</v>
      </c>
      <c r="D18" s="11">
        <v>9.61</v>
      </c>
      <c r="E18" s="11">
        <v>1.2</v>
      </c>
      <c r="F18" s="11">
        <v>1.86</v>
      </c>
      <c r="G18" s="11">
        <v>1.02</v>
      </c>
      <c r="H18" s="11">
        <v>1.18</v>
      </c>
      <c r="I18" s="11">
        <v>1.7000000000000001E-2</v>
      </c>
      <c r="J18" s="11">
        <v>1.53</v>
      </c>
      <c r="K18" s="11">
        <v>0.15</v>
      </c>
      <c r="L18" s="11">
        <v>0.38</v>
      </c>
      <c r="M18" s="11">
        <v>0.01</v>
      </c>
      <c r="N18" s="11">
        <v>0.06</v>
      </c>
      <c r="O18" s="11">
        <v>15.8</v>
      </c>
      <c r="P18" s="11">
        <v>100.92</v>
      </c>
    </row>
    <row r="19" spans="1:20" ht="15" customHeight="1" x14ac:dyDescent="0.2">
      <c r="A19" s="10" t="s">
        <v>32</v>
      </c>
      <c r="B19" s="11">
        <v>49.4</v>
      </c>
      <c r="C19" s="11">
        <v>18</v>
      </c>
      <c r="D19" s="11">
        <v>9.65</v>
      </c>
      <c r="E19" s="11">
        <v>1.1499999999999999</v>
      </c>
      <c r="F19" s="11">
        <v>1.84</v>
      </c>
      <c r="G19" s="11">
        <v>0.99</v>
      </c>
      <c r="H19" s="11">
        <v>1.25</v>
      </c>
      <c r="I19" s="11">
        <v>1.9E-2</v>
      </c>
      <c r="J19" s="11">
        <v>1.52</v>
      </c>
      <c r="K19" s="11">
        <v>0.16</v>
      </c>
      <c r="L19" s="11">
        <v>0.46</v>
      </c>
      <c r="M19" s="11">
        <v>0.01</v>
      </c>
      <c r="N19" s="11">
        <v>0.06</v>
      </c>
      <c r="O19" s="11">
        <v>15.95</v>
      </c>
      <c r="P19" s="11">
        <v>100.46</v>
      </c>
    </row>
    <row r="20" spans="1:20" ht="15" customHeight="1" x14ac:dyDescent="0.2">
      <c r="A20" s="10" t="s">
        <v>33</v>
      </c>
      <c r="B20" s="11">
        <v>49.4</v>
      </c>
      <c r="C20" s="11">
        <v>17.600000000000001</v>
      </c>
      <c r="D20" s="11">
        <v>9.39</v>
      </c>
      <c r="E20" s="11">
        <v>1.52</v>
      </c>
      <c r="F20" s="11">
        <v>1.87</v>
      </c>
      <c r="G20" s="11">
        <v>1.02</v>
      </c>
      <c r="H20" s="11">
        <v>1.22</v>
      </c>
      <c r="I20" s="11">
        <v>1.4999999999999999E-2</v>
      </c>
      <c r="J20" s="11">
        <v>1.5</v>
      </c>
      <c r="K20" s="11">
        <v>0.17</v>
      </c>
      <c r="L20" s="11">
        <v>0.42</v>
      </c>
      <c r="M20" s="11">
        <v>0.01</v>
      </c>
      <c r="N20" s="11">
        <v>0.06</v>
      </c>
      <c r="O20" s="11">
        <v>16.600000000000001</v>
      </c>
      <c r="P20" s="11">
        <v>100.8</v>
      </c>
    </row>
    <row r="21" spans="1:20" ht="15" customHeight="1" x14ac:dyDescent="0.2">
      <c r="A21" s="10" t="s">
        <v>34</v>
      </c>
      <c r="B21" s="11">
        <v>48.5</v>
      </c>
      <c r="C21" s="11">
        <v>17.7</v>
      </c>
      <c r="D21" s="11">
        <v>9.57</v>
      </c>
      <c r="E21" s="11">
        <v>1.39</v>
      </c>
      <c r="F21" s="11">
        <v>1.84</v>
      </c>
      <c r="G21" s="11">
        <v>0.96</v>
      </c>
      <c r="H21" s="11">
        <v>1.3</v>
      </c>
      <c r="I21" s="11">
        <v>1.4999999999999999E-2</v>
      </c>
      <c r="J21" s="11">
        <v>1.48</v>
      </c>
      <c r="K21" s="11">
        <v>0.18</v>
      </c>
      <c r="L21" s="11">
        <v>0.45</v>
      </c>
      <c r="M21" s="11">
        <v>0.01</v>
      </c>
      <c r="N21" s="11">
        <v>0.06</v>
      </c>
      <c r="O21" s="11">
        <v>17.350000000000001</v>
      </c>
      <c r="P21" s="11">
        <v>100.81</v>
      </c>
    </row>
    <row r="22" spans="1:20" ht="15" customHeight="1" x14ac:dyDescent="0.2">
      <c r="A22" s="10" t="s">
        <v>35</v>
      </c>
      <c r="B22" s="11">
        <v>50.7</v>
      </c>
      <c r="C22" s="11">
        <v>18.149999999999999</v>
      </c>
      <c r="D22" s="11">
        <v>9.64</v>
      </c>
      <c r="E22" s="11">
        <v>1.3</v>
      </c>
      <c r="F22" s="11">
        <v>1.8</v>
      </c>
      <c r="G22" s="11">
        <v>1.02</v>
      </c>
      <c r="H22" s="11">
        <v>1.32</v>
      </c>
      <c r="I22" s="11">
        <v>1.6E-2</v>
      </c>
      <c r="J22" s="11">
        <v>1.52</v>
      </c>
      <c r="K22" s="11">
        <v>0.18</v>
      </c>
      <c r="L22" s="11">
        <v>0.47</v>
      </c>
      <c r="M22" s="11">
        <v>0.01</v>
      </c>
      <c r="N22" s="11">
        <v>0.06</v>
      </c>
      <c r="O22" s="11">
        <v>15.5</v>
      </c>
      <c r="P22" s="11">
        <v>101.69</v>
      </c>
    </row>
    <row r="23" spans="1:20" ht="15" customHeight="1" x14ac:dyDescent="0.2">
      <c r="A23" s="10" t="s">
        <v>36</v>
      </c>
      <c r="B23" s="11">
        <v>49.7</v>
      </c>
      <c r="C23" s="11">
        <v>18.100000000000001</v>
      </c>
      <c r="D23" s="11">
        <v>9.61</v>
      </c>
      <c r="E23" s="11">
        <v>1.24</v>
      </c>
      <c r="F23" s="11">
        <v>1.86</v>
      </c>
      <c r="G23" s="11">
        <v>1</v>
      </c>
      <c r="H23" s="11">
        <v>1.26</v>
      </c>
      <c r="I23" s="11">
        <v>1.4999999999999999E-2</v>
      </c>
      <c r="J23" s="11">
        <v>1.5</v>
      </c>
      <c r="K23" s="11">
        <v>0.17</v>
      </c>
      <c r="L23" s="11">
        <v>0.44</v>
      </c>
      <c r="M23" s="11">
        <v>0.01</v>
      </c>
      <c r="N23" s="11">
        <v>0.06</v>
      </c>
      <c r="O23" s="11">
        <v>16.149999999999999</v>
      </c>
      <c r="P23" s="11">
        <v>101.12</v>
      </c>
    </row>
    <row r="24" spans="1:20" ht="15" customHeight="1" x14ac:dyDescent="0.2">
      <c r="A24" s="10" t="s">
        <v>37</v>
      </c>
      <c r="B24" s="11">
        <v>49.3</v>
      </c>
      <c r="C24" s="11">
        <v>18.350000000000001</v>
      </c>
      <c r="D24" s="11">
        <v>9.74</v>
      </c>
      <c r="E24" s="11">
        <v>1.1399999999999999</v>
      </c>
      <c r="F24" s="11">
        <v>1.8</v>
      </c>
      <c r="G24" s="11">
        <v>0.95</v>
      </c>
      <c r="H24" s="11">
        <v>1.24</v>
      </c>
      <c r="I24" s="11">
        <v>1.6E-2</v>
      </c>
      <c r="J24" s="11">
        <v>1.48</v>
      </c>
      <c r="K24" s="11">
        <v>0.19</v>
      </c>
      <c r="L24" s="11">
        <v>0.45</v>
      </c>
      <c r="M24" s="11">
        <v>0.01</v>
      </c>
      <c r="N24" s="11">
        <v>0.06</v>
      </c>
      <c r="O24" s="11">
        <v>16.05</v>
      </c>
      <c r="P24" s="11">
        <v>100.78</v>
      </c>
    </row>
    <row r="25" spans="1:20" ht="15" customHeight="1" x14ac:dyDescent="0.2">
      <c r="A25" s="10" t="s">
        <v>38</v>
      </c>
      <c r="B25" s="11">
        <v>47.6</v>
      </c>
      <c r="C25" s="11">
        <v>17.7</v>
      </c>
      <c r="D25" s="11">
        <v>9.4700000000000006</v>
      </c>
      <c r="E25" s="11">
        <v>1.36</v>
      </c>
      <c r="F25" s="11">
        <v>1.84</v>
      </c>
      <c r="G25" s="11">
        <v>0.93</v>
      </c>
      <c r="H25" s="11">
        <v>1.24</v>
      </c>
      <c r="I25" s="11">
        <v>1.4999999999999999E-2</v>
      </c>
      <c r="J25" s="11">
        <v>1.45</v>
      </c>
      <c r="K25" s="11">
        <v>0.19</v>
      </c>
      <c r="L25" s="11">
        <v>0.46</v>
      </c>
      <c r="M25" s="11">
        <v>0.01</v>
      </c>
      <c r="N25" s="11">
        <v>0.06</v>
      </c>
      <c r="O25" s="11">
        <v>17.100000000000001</v>
      </c>
      <c r="P25" s="11">
        <v>99.43</v>
      </c>
    </row>
    <row r="26" spans="1:20" ht="15" customHeight="1" x14ac:dyDescent="0.2">
      <c r="A26" s="10" t="s">
        <v>39</v>
      </c>
      <c r="B26" s="11">
        <v>47.2</v>
      </c>
      <c r="C26" s="11">
        <v>17.8</v>
      </c>
      <c r="D26" s="11">
        <v>9.4</v>
      </c>
      <c r="E26" s="11">
        <v>1.42</v>
      </c>
      <c r="F26" s="11">
        <v>1.8</v>
      </c>
      <c r="G26" s="11">
        <v>0.9</v>
      </c>
      <c r="H26" s="11">
        <v>1.27</v>
      </c>
      <c r="I26" s="11">
        <v>1.4999999999999999E-2</v>
      </c>
      <c r="J26" s="11">
        <v>1.44</v>
      </c>
      <c r="K26" s="11">
        <v>0.19</v>
      </c>
      <c r="L26" s="11">
        <v>0.56000000000000005</v>
      </c>
      <c r="M26" s="11">
        <v>0.01</v>
      </c>
      <c r="N26" s="11">
        <v>0.06</v>
      </c>
      <c r="O26" s="11">
        <v>19.100000000000001</v>
      </c>
      <c r="P26" s="11">
        <v>101.17</v>
      </c>
    </row>
    <row r="27" spans="1:20" ht="15" customHeight="1" x14ac:dyDescent="0.2">
      <c r="A27" s="10" t="s">
        <v>40</v>
      </c>
      <c r="B27" s="11">
        <v>48.7</v>
      </c>
      <c r="C27" s="11">
        <v>18.05</v>
      </c>
      <c r="D27" s="11">
        <v>9.86</v>
      </c>
      <c r="E27" s="11">
        <v>1.24</v>
      </c>
      <c r="F27" s="11">
        <v>1.76</v>
      </c>
      <c r="G27" s="11">
        <v>0.94</v>
      </c>
      <c r="H27" s="11">
        <v>1.1599999999999999</v>
      </c>
      <c r="I27" s="11">
        <v>1.7999999999999999E-2</v>
      </c>
      <c r="J27" s="11">
        <v>1.5</v>
      </c>
      <c r="K27" s="11">
        <v>0.18</v>
      </c>
      <c r="L27" s="11">
        <v>0.43</v>
      </c>
      <c r="M27" s="11">
        <v>0.01</v>
      </c>
      <c r="N27" s="11">
        <v>0.06</v>
      </c>
      <c r="O27" s="11">
        <v>17</v>
      </c>
      <c r="P27" s="11">
        <v>100.91</v>
      </c>
    </row>
    <row r="29" spans="1:20" ht="19.5" customHeight="1" x14ac:dyDescent="0.2">
      <c r="A29" s="4" t="s">
        <v>41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31.5" customHeight="1" x14ac:dyDescent="0.2">
      <c r="A30" s="5" t="s">
        <v>3</v>
      </c>
      <c r="B30" s="5" t="s">
        <v>4</v>
      </c>
      <c r="C30" s="5" t="s">
        <v>5</v>
      </c>
      <c r="D30" s="5" t="s">
        <v>6</v>
      </c>
      <c r="E30" s="5" t="s">
        <v>7</v>
      </c>
      <c r="F30" s="5" t="s">
        <v>8</v>
      </c>
      <c r="G30" s="5" t="s">
        <v>9</v>
      </c>
      <c r="H30" s="5" t="s">
        <v>10</v>
      </c>
      <c r="I30" s="5" t="s">
        <v>11</v>
      </c>
      <c r="J30" s="5" t="s">
        <v>12</v>
      </c>
      <c r="K30" s="5" t="s">
        <v>13</v>
      </c>
      <c r="L30" s="5" t="s">
        <v>14</v>
      </c>
      <c r="M30" s="5" t="s">
        <v>15</v>
      </c>
      <c r="N30" s="5" t="s">
        <v>16</v>
      </c>
      <c r="O30" s="5" t="s">
        <v>17</v>
      </c>
      <c r="P30" s="5" t="s">
        <v>18</v>
      </c>
    </row>
    <row r="31" spans="1:20" ht="15" customHeight="1" x14ac:dyDescent="0.2">
      <c r="A31" s="6" t="s">
        <v>42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20" ht="15" customHeight="1" x14ac:dyDescent="0.2">
      <c r="A32" s="7" t="s">
        <v>43</v>
      </c>
      <c r="B32" s="8">
        <v>49.3</v>
      </c>
      <c r="C32" s="8">
        <v>18.25</v>
      </c>
      <c r="D32" s="8">
        <v>9.7799999999999994</v>
      </c>
      <c r="E32" s="8">
        <v>1.1599999999999999</v>
      </c>
      <c r="F32" s="8">
        <v>1.82</v>
      </c>
      <c r="G32" s="8">
        <v>0.95</v>
      </c>
      <c r="H32" s="8">
        <v>1.25</v>
      </c>
      <c r="I32" s="8">
        <v>1.6E-2</v>
      </c>
      <c r="J32" s="8">
        <v>1.5</v>
      </c>
      <c r="K32" s="8">
        <v>0.22</v>
      </c>
      <c r="L32" s="8">
        <v>0.44</v>
      </c>
      <c r="M32" s="8">
        <v>0.01</v>
      </c>
      <c r="N32" s="8">
        <v>0.06</v>
      </c>
      <c r="O32" s="8">
        <v>15.5</v>
      </c>
      <c r="P32" s="8">
        <v>100.26</v>
      </c>
    </row>
    <row r="33" spans="1:20" ht="15" customHeight="1" x14ac:dyDescent="0.2">
      <c r="A33" s="7" t="s">
        <v>44</v>
      </c>
      <c r="B33" s="8">
        <v>49.3</v>
      </c>
      <c r="C33" s="8">
        <v>18.100000000000001</v>
      </c>
      <c r="D33" s="8">
        <v>9.75</v>
      </c>
      <c r="E33" s="8">
        <v>1.22</v>
      </c>
      <c r="F33" s="8">
        <v>1.84</v>
      </c>
      <c r="G33" s="8">
        <v>0.98</v>
      </c>
      <c r="H33" s="8">
        <v>1.21</v>
      </c>
      <c r="I33" s="8">
        <v>1.7999999999999999E-2</v>
      </c>
      <c r="J33" s="8">
        <v>1.52</v>
      </c>
      <c r="K33" s="8">
        <v>0.2</v>
      </c>
      <c r="L33" s="8">
        <v>0.45</v>
      </c>
      <c r="M33" s="8">
        <v>0.01</v>
      </c>
      <c r="N33" s="8">
        <v>0.06</v>
      </c>
      <c r="O33" s="8">
        <v>15.25</v>
      </c>
      <c r="P33" s="8">
        <v>99.91</v>
      </c>
    </row>
    <row r="34" spans="1:20" ht="15" customHeight="1" x14ac:dyDescent="0.2">
      <c r="A34" s="7" t="s">
        <v>45</v>
      </c>
      <c r="B34" s="8">
        <v>48.7</v>
      </c>
      <c r="C34" s="8">
        <v>18.149999999999999</v>
      </c>
      <c r="D34" s="8">
        <v>9.65</v>
      </c>
      <c r="E34" s="8">
        <v>1.1200000000000001</v>
      </c>
      <c r="F34" s="8">
        <v>1.78</v>
      </c>
      <c r="G34" s="8">
        <v>0.95</v>
      </c>
      <c r="H34" s="8">
        <v>1.28</v>
      </c>
      <c r="I34" s="8">
        <v>1.6E-2</v>
      </c>
      <c r="J34" s="8">
        <v>1.52</v>
      </c>
      <c r="K34" s="8">
        <v>0.2</v>
      </c>
      <c r="L34" s="8">
        <v>0.43</v>
      </c>
      <c r="M34" s="8">
        <v>0.01</v>
      </c>
      <c r="N34" s="8">
        <v>0.06</v>
      </c>
      <c r="O34" s="8">
        <v>15.5</v>
      </c>
      <c r="P34" s="8">
        <v>99.37</v>
      </c>
    </row>
    <row r="35" spans="1:20" ht="15" customHeight="1" x14ac:dyDescent="0.2">
      <c r="A35" s="7" t="s">
        <v>46</v>
      </c>
      <c r="B35" s="8">
        <v>49.4</v>
      </c>
      <c r="C35" s="8">
        <v>18.05</v>
      </c>
      <c r="D35" s="8">
        <v>9.67</v>
      </c>
      <c r="E35" s="8">
        <v>1.3</v>
      </c>
      <c r="F35" s="8">
        <v>1.81</v>
      </c>
      <c r="G35" s="8">
        <v>0.99</v>
      </c>
      <c r="H35" s="8">
        <v>1.21</v>
      </c>
      <c r="I35" s="8">
        <v>1.4999999999999999E-2</v>
      </c>
      <c r="J35" s="8">
        <v>1.53</v>
      </c>
      <c r="K35" s="8">
        <v>0.19</v>
      </c>
      <c r="L35" s="8">
        <v>0.41</v>
      </c>
      <c r="M35" s="8">
        <v>0.01</v>
      </c>
      <c r="N35" s="8">
        <v>0.06</v>
      </c>
      <c r="O35" s="8">
        <v>15.5</v>
      </c>
      <c r="P35" s="8">
        <v>100.15</v>
      </c>
    </row>
    <row r="36" spans="1:20" ht="15" customHeight="1" x14ac:dyDescent="0.2">
      <c r="A36" s="7" t="s">
        <v>47</v>
      </c>
      <c r="B36" s="8">
        <v>49.5</v>
      </c>
      <c r="C36" s="8">
        <v>18.149999999999999</v>
      </c>
      <c r="D36" s="8">
        <v>9.85</v>
      </c>
      <c r="E36" s="8">
        <v>1.32</v>
      </c>
      <c r="F36" s="8">
        <v>1.82</v>
      </c>
      <c r="G36" s="8">
        <v>1</v>
      </c>
      <c r="H36" s="8">
        <v>1.18</v>
      </c>
      <c r="I36" s="8">
        <v>1.6E-2</v>
      </c>
      <c r="J36" s="8">
        <v>1.54</v>
      </c>
      <c r="K36" s="8">
        <v>0.2</v>
      </c>
      <c r="L36" s="8">
        <v>0.49</v>
      </c>
      <c r="M36" s="8">
        <v>0.01</v>
      </c>
      <c r="N36" s="8">
        <v>0.06</v>
      </c>
      <c r="O36" s="8">
        <v>15.8</v>
      </c>
      <c r="P36" s="8">
        <v>100.94</v>
      </c>
    </row>
    <row r="37" spans="1:20" ht="15" customHeight="1" x14ac:dyDescent="0.2">
      <c r="A37" s="7" t="s">
        <v>48</v>
      </c>
      <c r="B37" s="8">
        <v>48.9</v>
      </c>
      <c r="C37" s="8">
        <v>18.350000000000001</v>
      </c>
      <c r="D37" s="8">
        <v>10</v>
      </c>
      <c r="E37" s="8">
        <v>1.1000000000000001</v>
      </c>
      <c r="F37" s="8">
        <v>1.76</v>
      </c>
      <c r="G37" s="8">
        <v>0.95</v>
      </c>
      <c r="H37" s="8">
        <v>1.17</v>
      </c>
      <c r="I37" s="8">
        <v>1.4999999999999999E-2</v>
      </c>
      <c r="J37" s="8">
        <v>1.54</v>
      </c>
      <c r="K37" s="8">
        <v>0.2</v>
      </c>
      <c r="L37" s="8">
        <v>0.48</v>
      </c>
      <c r="M37" s="8">
        <v>0.01</v>
      </c>
      <c r="N37" s="8">
        <v>0.06</v>
      </c>
      <c r="O37" s="8">
        <v>15.65</v>
      </c>
      <c r="P37" s="8">
        <v>100.19</v>
      </c>
    </row>
    <row r="38" spans="1:20" ht="15" customHeight="1" x14ac:dyDescent="0.2">
      <c r="A38" s="7" t="s">
        <v>49</v>
      </c>
      <c r="B38" s="8">
        <v>49.1</v>
      </c>
      <c r="C38" s="8">
        <v>18.25</v>
      </c>
      <c r="D38" s="8">
        <v>9.85</v>
      </c>
      <c r="E38" s="8">
        <v>1.1200000000000001</v>
      </c>
      <c r="F38" s="8">
        <v>1.78</v>
      </c>
      <c r="G38" s="8">
        <v>0.96</v>
      </c>
      <c r="H38" s="8">
        <v>1.21</v>
      </c>
      <c r="I38" s="8">
        <v>1.4999999999999999E-2</v>
      </c>
      <c r="J38" s="8">
        <v>1.54</v>
      </c>
      <c r="K38" s="8">
        <v>0.21</v>
      </c>
      <c r="L38" s="8">
        <v>0.45</v>
      </c>
      <c r="M38" s="8">
        <v>0.01</v>
      </c>
      <c r="N38" s="8">
        <v>0.06</v>
      </c>
      <c r="O38" s="8">
        <v>15.15</v>
      </c>
      <c r="P38" s="8">
        <v>99.71</v>
      </c>
    </row>
    <row r="39" spans="1:20" ht="15" customHeight="1" x14ac:dyDescent="0.2">
      <c r="A39" s="9" t="s">
        <v>50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20" ht="15" customHeight="1" x14ac:dyDescent="0.2">
      <c r="A40" s="10" t="s">
        <v>51</v>
      </c>
      <c r="B40" s="11">
        <v>49.1</v>
      </c>
      <c r="C40" s="11">
        <v>17.8</v>
      </c>
      <c r="D40" s="11">
        <v>9.52</v>
      </c>
      <c r="E40" s="11">
        <v>1.42</v>
      </c>
      <c r="F40" s="11">
        <v>1.83</v>
      </c>
      <c r="G40" s="11">
        <v>1.01</v>
      </c>
      <c r="H40" s="11">
        <v>1.24</v>
      </c>
      <c r="I40" s="11">
        <v>3.1E-2</v>
      </c>
      <c r="J40" s="11">
        <v>1.48</v>
      </c>
      <c r="K40" s="11">
        <v>0.17</v>
      </c>
      <c r="L40" s="11">
        <v>0.46</v>
      </c>
      <c r="M40" s="11">
        <v>0.01</v>
      </c>
      <c r="N40" s="11">
        <v>0.06</v>
      </c>
      <c r="O40" s="11">
        <v>15.5</v>
      </c>
      <c r="P40" s="11">
        <v>99.63</v>
      </c>
    </row>
    <row r="41" spans="1:20" ht="15" customHeight="1" x14ac:dyDescent="0.2">
      <c r="A41" s="10" t="s">
        <v>52</v>
      </c>
      <c r="B41" s="11">
        <v>49.9</v>
      </c>
      <c r="C41" s="11">
        <v>17.649999999999999</v>
      </c>
      <c r="D41" s="11">
        <v>9.36</v>
      </c>
      <c r="E41" s="11">
        <v>1.5</v>
      </c>
      <c r="F41" s="11">
        <v>1.82</v>
      </c>
      <c r="G41" s="11">
        <v>1.05</v>
      </c>
      <c r="H41" s="11">
        <v>1.22</v>
      </c>
      <c r="I41" s="11">
        <v>2.9000000000000001E-2</v>
      </c>
      <c r="J41" s="11">
        <v>1.48</v>
      </c>
      <c r="K41" s="11">
        <v>0.16</v>
      </c>
      <c r="L41" s="11">
        <v>0.43</v>
      </c>
      <c r="M41" s="11">
        <v>0.01</v>
      </c>
      <c r="N41" s="11">
        <v>0.06</v>
      </c>
      <c r="O41" s="11">
        <v>16.25</v>
      </c>
      <c r="P41" s="11">
        <v>100.92</v>
      </c>
    </row>
    <row r="42" spans="1:20" ht="15" customHeight="1" x14ac:dyDescent="0.2">
      <c r="A42" s="10" t="s">
        <v>53</v>
      </c>
      <c r="B42" s="11">
        <v>49</v>
      </c>
      <c r="C42" s="11">
        <v>17.55</v>
      </c>
      <c r="D42" s="11">
        <v>9.34</v>
      </c>
      <c r="E42" s="11">
        <v>1.44</v>
      </c>
      <c r="F42" s="11">
        <v>1.85</v>
      </c>
      <c r="G42" s="11">
        <v>0.99</v>
      </c>
      <c r="H42" s="11">
        <v>1.21</v>
      </c>
      <c r="I42" s="11">
        <v>2.1999999999999999E-2</v>
      </c>
      <c r="J42" s="11">
        <v>1.47</v>
      </c>
      <c r="K42" s="11">
        <v>0.17</v>
      </c>
      <c r="L42" s="11">
        <v>0.46</v>
      </c>
      <c r="M42" s="11">
        <v>0.01</v>
      </c>
      <c r="N42" s="11">
        <v>0.06</v>
      </c>
      <c r="O42" s="11">
        <v>17.3</v>
      </c>
      <c r="P42" s="11">
        <v>100.87</v>
      </c>
    </row>
    <row r="43" spans="1:20" ht="15" customHeight="1" x14ac:dyDescent="0.2">
      <c r="A43" s="10" t="s">
        <v>54</v>
      </c>
      <c r="B43" s="11">
        <v>49.1</v>
      </c>
      <c r="C43" s="11">
        <v>17.850000000000001</v>
      </c>
      <c r="D43" s="11">
        <v>9.5</v>
      </c>
      <c r="E43" s="11">
        <v>1.41</v>
      </c>
      <c r="F43" s="11">
        <v>1.84</v>
      </c>
      <c r="G43" s="11">
        <v>0.96</v>
      </c>
      <c r="H43" s="11">
        <v>1.24</v>
      </c>
      <c r="I43" s="11">
        <v>1.7999999999999999E-2</v>
      </c>
      <c r="J43" s="11">
        <v>1.48</v>
      </c>
      <c r="K43" s="11">
        <v>0.17</v>
      </c>
      <c r="L43" s="11">
        <v>0.42</v>
      </c>
      <c r="M43" s="11">
        <v>0.01</v>
      </c>
      <c r="N43" s="11">
        <v>0.06</v>
      </c>
      <c r="O43" s="11">
        <v>16.5</v>
      </c>
      <c r="P43" s="11">
        <v>100.56</v>
      </c>
    </row>
    <row r="44" spans="1:20" ht="15" customHeight="1" x14ac:dyDescent="0.2">
      <c r="A44" s="10" t="s">
        <v>55</v>
      </c>
      <c r="B44" s="11">
        <v>48.2</v>
      </c>
      <c r="C44" s="11">
        <v>18.25</v>
      </c>
      <c r="D44" s="11">
        <v>9.7899999999999991</v>
      </c>
      <c r="E44" s="11">
        <v>1.1399999999999999</v>
      </c>
      <c r="F44" s="11">
        <v>1.84</v>
      </c>
      <c r="G44" s="11">
        <v>0.92</v>
      </c>
      <c r="H44" s="11">
        <v>1.21</v>
      </c>
      <c r="I44" s="11">
        <v>1.7000000000000001E-2</v>
      </c>
      <c r="J44" s="11">
        <v>1.48</v>
      </c>
      <c r="K44" s="11">
        <v>0.19</v>
      </c>
      <c r="L44" s="11">
        <v>0.47</v>
      </c>
      <c r="M44" s="11">
        <v>0.01</v>
      </c>
      <c r="N44" s="11">
        <v>0.06</v>
      </c>
      <c r="O44" s="11">
        <v>17</v>
      </c>
      <c r="P44" s="11">
        <v>100.58</v>
      </c>
    </row>
    <row r="47" spans="1:20" ht="19.5" customHeight="1" x14ac:dyDescent="0.2">
      <c r="A47" s="12" t="s">
        <v>56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27.75" customHeight="1" x14ac:dyDescent="0.2">
      <c r="A48" s="3" t="s">
        <v>57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50" spans="1:20" ht="19.5" customHeight="1" x14ac:dyDescent="0.2">
      <c r="A50" s="4" t="s">
        <v>58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9.5" customHeight="1" x14ac:dyDescent="0.2">
      <c r="A51" s="13" t="s">
        <v>59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31.5" customHeight="1" x14ac:dyDescent="0.2">
      <c r="A52" s="5" t="s">
        <v>60</v>
      </c>
      <c r="B52" s="5" t="s">
        <v>61</v>
      </c>
      <c r="C52" s="5" t="s">
        <v>62</v>
      </c>
      <c r="D52" s="5" t="s">
        <v>63</v>
      </c>
      <c r="E52" s="5" t="s">
        <v>64</v>
      </c>
      <c r="F52" s="5" t="s">
        <v>65</v>
      </c>
      <c r="G52" s="5" t="s">
        <v>66</v>
      </c>
      <c r="H52" s="5" t="s">
        <v>67</v>
      </c>
      <c r="I52" s="5" t="s">
        <v>68</v>
      </c>
      <c r="J52" s="5" t="s">
        <v>69</v>
      </c>
      <c r="K52" s="5" t="s">
        <v>70</v>
      </c>
    </row>
    <row r="53" spans="1:20" ht="32.25" customHeight="1" x14ac:dyDescent="0.2">
      <c r="A53" s="32" t="s">
        <v>4</v>
      </c>
      <c r="B53" s="33" t="s">
        <v>71</v>
      </c>
      <c r="C53" s="34">
        <f>AVERAGE(B7:B16)</f>
        <v>48.31</v>
      </c>
      <c r="D53" s="34">
        <f>AVERAGE(B18:B27)</f>
        <v>49.06</v>
      </c>
      <c r="E53" s="34">
        <f t="shared" ref="E53:E66" si="0">ABS(C53-D53)</f>
        <v>0.75</v>
      </c>
      <c r="F53" s="34">
        <f>STDEV(B7:B16)</f>
        <v>0.81301906496711474</v>
      </c>
      <c r="G53" s="34">
        <f>STDEV(B18:B27)</f>
        <v>1.0803291679442477</v>
      </c>
      <c r="H53" s="34">
        <f t="shared" ref="H53:H66" si="1">SQRT(((10-1)*F53^2+(10-1)*G53^2)/(10+10-2))</f>
        <v>0.95606252701146899</v>
      </c>
      <c r="I53" s="35">
        <f t="shared" ref="I53:I66" si="2">IF(H53=0,"N/A",E53/H53*100)</f>
        <v>78.446752049199702</v>
      </c>
      <c r="J53" s="36" t="str">
        <f t="shared" ref="J53:J66" si="3">IF(ISNUMBER(I53),IF(I53&lt;10,"PASS","FAIL"),"—")</f>
        <v>FAIL</v>
      </c>
      <c r="K53" s="37" t="str">
        <f t="shared" ref="K53:K66" si="4">IF(I53&lt;10,"Groups equivalent on this element",IF(I53&lt;30,"Marginal — review abs diff","High SMD — check abs diff and t-test"))</f>
        <v>High SMD — check abs diff and t-test</v>
      </c>
    </row>
    <row r="54" spans="1:20" ht="32.25" customHeight="1" x14ac:dyDescent="0.2">
      <c r="A54" s="32" t="s">
        <v>5</v>
      </c>
      <c r="B54" s="33" t="s">
        <v>72</v>
      </c>
      <c r="C54" s="34">
        <f>AVERAGE(C7:C16)</f>
        <v>17.490000000000002</v>
      </c>
      <c r="D54" s="34">
        <f>AVERAGE(C18:C27)</f>
        <v>17.945</v>
      </c>
      <c r="E54" s="34">
        <f t="shared" si="0"/>
        <v>0.45499999999999829</v>
      </c>
      <c r="F54" s="34">
        <f>STDEV(C7:C16)</f>
        <v>0.38137179293236162</v>
      </c>
      <c r="G54" s="34">
        <f>STDEV(C18:C27)</f>
        <v>0.23740495174092555</v>
      </c>
      <c r="H54" s="34">
        <f t="shared" si="1"/>
        <v>0.31765197587576505</v>
      </c>
      <c r="I54" s="35">
        <f t="shared" si="2"/>
        <v>143.23852346441902</v>
      </c>
      <c r="J54" s="36" t="str">
        <f t="shared" si="3"/>
        <v>FAIL</v>
      </c>
      <c r="K54" s="37" t="str">
        <f t="shared" si="4"/>
        <v>High SMD — check abs diff and t-test</v>
      </c>
    </row>
    <row r="55" spans="1:20" ht="32.25" customHeight="1" x14ac:dyDescent="0.2">
      <c r="A55" s="32" t="s">
        <v>6</v>
      </c>
      <c r="B55" s="33" t="s">
        <v>73</v>
      </c>
      <c r="C55" s="34">
        <f>AVERAGE(D7:D16)</f>
        <v>9.5629999999999988</v>
      </c>
      <c r="D55" s="34">
        <f>AVERAGE(D18:D27)</f>
        <v>9.5939999999999994</v>
      </c>
      <c r="E55" s="34">
        <f t="shared" si="0"/>
        <v>3.1000000000000583E-2</v>
      </c>
      <c r="F55" s="34">
        <f>STDEV(D7:D16)</f>
        <v>0.19877681510232068</v>
      </c>
      <c r="G55" s="34">
        <f>STDEV(D18:D27)</f>
        <v>0.14645439183885475</v>
      </c>
      <c r="H55" s="34">
        <f t="shared" si="1"/>
        <v>0.17458681380778873</v>
      </c>
      <c r="I55" s="35">
        <f t="shared" si="2"/>
        <v>17.75620925995592</v>
      </c>
      <c r="J55" s="36" t="str">
        <f t="shared" si="3"/>
        <v>FAIL</v>
      </c>
      <c r="K55" s="37" t="str">
        <f t="shared" si="4"/>
        <v>Marginal — review abs diff</v>
      </c>
    </row>
    <row r="56" spans="1:20" ht="32.25" customHeight="1" x14ac:dyDescent="0.2">
      <c r="A56" s="32" t="s">
        <v>7</v>
      </c>
      <c r="B56" s="33" t="s">
        <v>74</v>
      </c>
      <c r="C56" s="34">
        <f>AVERAGE(E7:E16)</f>
        <v>1.3149999999999999</v>
      </c>
      <c r="D56" s="34">
        <f>AVERAGE(E18:E27)</f>
        <v>1.2959999999999998</v>
      </c>
      <c r="E56" s="34">
        <f t="shared" si="0"/>
        <v>1.9000000000000128E-2</v>
      </c>
      <c r="F56" s="34">
        <f>STDEV(E7:E16)</f>
        <v>0.12158673173226318</v>
      </c>
      <c r="G56" s="34">
        <f>STDEV(E18:E27)</f>
        <v>0.12456145292808508</v>
      </c>
      <c r="H56" s="34">
        <f t="shared" si="1"/>
        <v>0.12308307944004507</v>
      </c>
      <c r="I56" s="35">
        <f t="shared" si="2"/>
        <v>15.43672784792097</v>
      </c>
      <c r="J56" s="36" t="str">
        <f t="shared" si="3"/>
        <v>FAIL</v>
      </c>
      <c r="K56" s="37" t="str">
        <f t="shared" si="4"/>
        <v>Marginal — review abs diff</v>
      </c>
    </row>
    <row r="57" spans="1:20" ht="32.25" customHeight="1" x14ac:dyDescent="0.2">
      <c r="A57" s="50" t="s">
        <v>8</v>
      </c>
      <c r="B57" s="51" t="s">
        <v>75</v>
      </c>
      <c r="C57" s="52">
        <f>AVERAGE(F7:F16)</f>
        <v>1.823</v>
      </c>
      <c r="D57" s="52">
        <f>AVERAGE(F18:F27)</f>
        <v>1.8270000000000004</v>
      </c>
      <c r="E57" s="52">
        <f t="shared" si="0"/>
        <v>4.0000000000004476E-3</v>
      </c>
      <c r="F57" s="52">
        <f>STDEV(F7:F16)</f>
        <v>4.8085571871635473E-2</v>
      </c>
      <c r="G57" s="52">
        <f>STDEV(F18:F27)</f>
        <v>3.5292429153510503E-2</v>
      </c>
      <c r="H57" s="52">
        <f t="shared" si="1"/>
        <v>4.217687623436437E-2</v>
      </c>
      <c r="I57" s="53">
        <f t="shared" si="2"/>
        <v>9.4838697341491951</v>
      </c>
      <c r="J57" s="54" t="str">
        <f t="shared" si="3"/>
        <v>PASS</v>
      </c>
      <c r="K57" s="55" t="str">
        <f t="shared" si="4"/>
        <v>Groups equivalent on this element</v>
      </c>
    </row>
    <row r="58" spans="1:20" ht="32.25" customHeight="1" x14ac:dyDescent="0.2">
      <c r="A58" s="32" t="s">
        <v>9</v>
      </c>
      <c r="B58" s="33" t="s">
        <v>74</v>
      </c>
      <c r="C58" s="34">
        <f>AVERAGE(G7:G16)</f>
        <v>0.97300000000000009</v>
      </c>
      <c r="D58" s="34">
        <f>AVERAGE(G18:G27)</f>
        <v>0.97299999999999986</v>
      </c>
      <c r="E58" s="34">
        <f t="shared" si="0"/>
        <v>2.2204460492503131E-16</v>
      </c>
      <c r="F58" s="34">
        <f>STDEV(G7:G16)</f>
        <v>3.3015148038438351E-2</v>
      </c>
      <c r="G58" s="34">
        <f>STDEV(G18:G27)</f>
        <v>4.2959929650263115E-2</v>
      </c>
      <c r="H58" s="34">
        <f t="shared" si="1"/>
        <v>3.8311588035185619E-2</v>
      </c>
      <c r="I58" s="35">
        <f t="shared" si="2"/>
        <v>5.7957557050651107E-13</v>
      </c>
      <c r="J58" s="36" t="str">
        <f t="shared" si="3"/>
        <v>PASS</v>
      </c>
      <c r="K58" s="37" t="str">
        <f t="shared" si="4"/>
        <v>Groups equivalent on this element</v>
      </c>
    </row>
    <row r="59" spans="1:20" ht="32.25" customHeight="1" x14ac:dyDescent="0.2">
      <c r="A59" s="32" t="s">
        <v>10</v>
      </c>
      <c r="B59" s="33" t="s">
        <v>74</v>
      </c>
      <c r="C59" s="34">
        <f>AVERAGE(H7:H16)</f>
        <v>1.214</v>
      </c>
      <c r="D59" s="34">
        <f>AVERAGE(H18:H27)</f>
        <v>1.244</v>
      </c>
      <c r="E59" s="34">
        <f t="shared" si="0"/>
        <v>3.0000000000000027E-2</v>
      </c>
      <c r="F59" s="34">
        <f>STDEV(H7:H16)</f>
        <v>3.1340424729448452E-2</v>
      </c>
      <c r="G59" s="34">
        <f>STDEV(H18:H27)</f>
        <v>4.9035134795822159E-2</v>
      </c>
      <c r="H59" s="34">
        <f t="shared" si="1"/>
        <v>4.1150131632029276E-2</v>
      </c>
      <c r="I59" s="35">
        <f t="shared" si="2"/>
        <v>72.90377651343762</v>
      </c>
      <c r="J59" s="36" t="str">
        <f t="shared" si="3"/>
        <v>FAIL</v>
      </c>
      <c r="K59" s="37" t="str">
        <f t="shared" si="4"/>
        <v>High SMD — check abs diff and t-test</v>
      </c>
    </row>
    <row r="60" spans="1:20" ht="32.25" customHeight="1" x14ac:dyDescent="0.2">
      <c r="A60" s="32" t="s">
        <v>11</v>
      </c>
      <c r="B60" s="33" t="s">
        <v>76</v>
      </c>
      <c r="C60" s="34">
        <f>AVERAGE(I7:I16)</f>
        <v>1.5500000000000003E-2</v>
      </c>
      <c r="D60" s="34">
        <f>AVERAGE(I18:I27)</f>
        <v>1.61E-2</v>
      </c>
      <c r="E60" s="34">
        <f t="shared" si="0"/>
        <v>5.9999999999999637E-4</v>
      </c>
      <c r="F60" s="34">
        <f>STDEV(I7:I16)</f>
        <v>7.0710678118654805E-4</v>
      </c>
      <c r="G60" s="34">
        <f>STDEV(I18:I27)</f>
        <v>1.4491376746189437E-3</v>
      </c>
      <c r="H60" s="34">
        <f t="shared" si="1"/>
        <v>1.140175425099138E-3</v>
      </c>
      <c r="I60" s="35">
        <f t="shared" si="2"/>
        <v>52.623481158421434</v>
      </c>
      <c r="J60" s="36" t="str">
        <f t="shared" si="3"/>
        <v>FAIL</v>
      </c>
      <c r="K60" s="37" t="str">
        <f t="shared" si="4"/>
        <v>High SMD — check abs diff and t-test</v>
      </c>
    </row>
    <row r="61" spans="1:20" ht="32.25" customHeight="1" x14ac:dyDescent="0.2">
      <c r="A61" s="32" t="s">
        <v>12</v>
      </c>
      <c r="B61" s="33" t="s">
        <v>72</v>
      </c>
      <c r="C61" s="34">
        <f>AVERAGE(J7:J16)</f>
        <v>1.4889999999999999</v>
      </c>
      <c r="D61" s="34">
        <f>AVERAGE(J18:J27)</f>
        <v>1.4919999999999998</v>
      </c>
      <c r="E61" s="34">
        <f t="shared" si="0"/>
        <v>2.9999999999998916E-3</v>
      </c>
      <c r="F61" s="34">
        <f>STDEV(J7:J16)</f>
        <v>2.7668674625929538E-2</v>
      </c>
      <c r="G61" s="34">
        <f>STDEV(J18:J27)</f>
        <v>2.9739610697593975E-2</v>
      </c>
      <c r="H61" s="34">
        <f t="shared" si="1"/>
        <v>2.8722813232690169E-2</v>
      </c>
      <c r="I61" s="35">
        <f t="shared" si="2"/>
        <v>10.444659357341484</v>
      </c>
      <c r="J61" s="36" t="str">
        <f t="shared" si="3"/>
        <v>FAIL</v>
      </c>
      <c r="K61" s="37" t="str">
        <f t="shared" si="4"/>
        <v>Marginal — review abs diff</v>
      </c>
    </row>
    <row r="62" spans="1:20" ht="32.25" customHeight="1" x14ac:dyDescent="0.2">
      <c r="A62" s="32" t="s">
        <v>13</v>
      </c>
      <c r="B62" s="33" t="s">
        <v>77</v>
      </c>
      <c r="C62" s="34">
        <f>AVERAGE(K7:K16)</f>
        <v>0.17999999999999997</v>
      </c>
      <c r="D62" s="34">
        <f>AVERAGE(K18:K27)</f>
        <v>0.17599999999999996</v>
      </c>
      <c r="E62" s="34">
        <f t="shared" si="0"/>
        <v>4.0000000000000036E-3</v>
      </c>
      <c r="F62" s="34">
        <f>STDEV(K7:K16)</f>
        <v>1.6329931618554522E-2</v>
      </c>
      <c r="G62" s="34">
        <f>STDEV(K18:K27)</f>
        <v>1.3498971154211056E-2</v>
      </c>
      <c r="H62" s="34">
        <f t="shared" si="1"/>
        <v>1.4981470036162821E-2</v>
      </c>
      <c r="I62" s="35">
        <f t="shared" si="2"/>
        <v>26.69964956939911</v>
      </c>
      <c r="J62" s="36" t="str">
        <f t="shared" si="3"/>
        <v>FAIL</v>
      </c>
      <c r="K62" s="37" t="str">
        <f t="shared" si="4"/>
        <v>Marginal — review abs diff</v>
      </c>
    </row>
    <row r="63" spans="1:20" ht="32.25" customHeight="1" x14ac:dyDescent="0.2">
      <c r="A63" s="32" t="s">
        <v>14</v>
      </c>
      <c r="B63" s="33" t="s">
        <v>78</v>
      </c>
      <c r="C63" s="34">
        <f>AVERAGE(L7:L16)</f>
        <v>0.45300000000000001</v>
      </c>
      <c r="D63" s="34">
        <f>AVERAGE(L18:L27)</f>
        <v>0.45199999999999996</v>
      </c>
      <c r="E63" s="34">
        <f t="shared" si="0"/>
        <v>1.0000000000000564E-3</v>
      </c>
      <c r="F63" s="34">
        <f>STDEV(L7:L16)</f>
        <v>3.4009802508492559E-2</v>
      </c>
      <c r="G63" s="34">
        <f>STDEV(L18:L27)</f>
        <v>4.5898438608156032E-2</v>
      </c>
      <c r="H63" s="34">
        <f t="shared" si="1"/>
        <v>4.0393893928001884E-2</v>
      </c>
      <c r="I63" s="35">
        <f t="shared" si="2"/>
        <v>2.475621691195351</v>
      </c>
      <c r="J63" s="36" t="str">
        <f t="shared" si="3"/>
        <v>PASS</v>
      </c>
      <c r="K63" s="37" t="str">
        <f t="shared" si="4"/>
        <v>Groups equivalent on this element</v>
      </c>
    </row>
    <row r="64" spans="1:20" ht="32.25" customHeight="1" x14ac:dyDescent="0.2">
      <c r="A64" s="32" t="s">
        <v>15</v>
      </c>
      <c r="B64" s="33" t="s">
        <v>79</v>
      </c>
      <c r="C64" s="34">
        <f>AVERAGE(M7:M16)</f>
        <v>9.9999999999999985E-3</v>
      </c>
      <c r="D64" s="34">
        <f>AVERAGE(M18:M27)</f>
        <v>9.9999999999999985E-3</v>
      </c>
      <c r="E64" s="34">
        <f t="shared" si="0"/>
        <v>0</v>
      </c>
      <c r="F64" s="34">
        <f>STDEV(M7:M16)</f>
        <v>1.8285590982170319E-18</v>
      </c>
      <c r="G64" s="34">
        <f>STDEV(M18:M27)</f>
        <v>1.8285590982170319E-18</v>
      </c>
      <c r="H64" s="34">
        <f t="shared" si="1"/>
        <v>1.8285590982170319E-18</v>
      </c>
      <c r="I64" s="35">
        <f t="shared" si="2"/>
        <v>0</v>
      </c>
      <c r="J64" s="36" t="str">
        <f t="shared" si="3"/>
        <v>PASS</v>
      </c>
      <c r="K64" s="37" t="str">
        <f t="shared" si="4"/>
        <v>Groups equivalent on this element</v>
      </c>
    </row>
    <row r="65" spans="1:20" ht="32.25" customHeight="1" x14ac:dyDescent="0.2">
      <c r="A65" s="32" t="s">
        <v>16</v>
      </c>
      <c r="B65" s="33" t="s">
        <v>79</v>
      </c>
      <c r="C65" s="34">
        <f>AVERAGE(N7:N16)</f>
        <v>6.0000000000000012E-2</v>
      </c>
      <c r="D65" s="34">
        <f>AVERAGE(N18:N27)</f>
        <v>6.0000000000000012E-2</v>
      </c>
      <c r="E65" s="34">
        <f t="shared" si="0"/>
        <v>0</v>
      </c>
      <c r="F65" s="34">
        <f>STDEV(N7:N16)</f>
        <v>1.4628472785736255E-17</v>
      </c>
      <c r="G65" s="34">
        <f>STDEV(N18:N27)</f>
        <v>1.4628472785736255E-17</v>
      </c>
      <c r="H65" s="34">
        <f t="shared" si="1"/>
        <v>1.4628472785736255E-17</v>
      </c>
      <c r="I65" s="35">
        <f t="shared" si="2"/>
        <v>0</v>
      </c>
      <c r="J65" s="36" t="str">
        <f t="shared" si="3"/>
        <v>PASS</v>
      </c>
      <c r="K65" s="37" t="str">
        <f t="shared" si="4"/>
        <v>Groups equivalent on this element</v>
      </c>
    </row>
    <row r="66" spans="1:20" ht="32.25" customHeight="1" x14ac:dyDescent="0.2">
      <c r="A66" s="32" t="s">
        <v>17</v>
      </c>
      <c r="B66" s="33" t="s">
        <v>80</v>
      </c>
      <c r="C66" s="34">
        <f>AVERAGE(O7:O16)</f>
        <v>16.910000000000004</v>
      </c>
      <c r="D66" s="34">
        <f>AVERAGE(O18:O27)</f>
        <v>16.66</v>
      </c>
      <c r="E66" s="34">
        <f t="shared" si="0"/>
        <v>0.25000000000000355</v>
      </c>
      <c r="F66" s="34">
        <f>STDEV(O7:O16)</f>
        <v>0.47539457296018817</v>
      </c>
      <c r="G66" s="34">
        <f>STDEV(O18:O27)</f>
        <v>1.0521934760827556</v>
      </c>
      <c r="H66" s="34">
        <f t="shared" si="1"/>
        <v>0.81642853671068849</v>
      </c>
      <c r="I66" s="35">
        <f t="shared" si="2"/>
        <v>30.621173655593832</v>
      </c>
      <c r="J66" s="36" t="str">
        <f t="shared" si="3"/>
        <v>FAIL</v>
      </c>
      <c r="K66" s="37" t="str">
        <f t="shared" si="4"/>
        <v>High SMD — check abs diff and t-test</v>
      </c>
    </row>
    <row r="67" spans="1:20" ht="31.5" customHeight="1" x14ac:dyDescent="0.2">
      <c r="A67" s="49" t="s">
        <v>81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</row>
    <row r="69" spans="1:20" ht="19.5" customHeight="1" x14ac:dyDescent="0.2">
      <c r="A69" s="13" t="s">
        <v>82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36" customHeight="1" x14ac:dyDescent="0.2">
      <c r="A70" s="5" t="s">
        <v>60</v>
      </c>
      <c r="B70" s="5" t="s">
        <v>61</v>
      </c>
      <c r="C70" s="5" t="s">
        <v>62</v>
      </c>
      <c r="D70" s="5" t="s">
        <v>63</v>
      </c>
      <c r="E70" s="5" t="s">
        <v>83</v>
      </c>
      <c r="F70" s="5" t="s">
        <v>65</v>
      </c>
      <c r="G70" s="5" t="s">
        <v>66</v>
      </c>
      <c r="H70" s="5" t="s">
        <v>84</v>
      </c>
      <c r="I70" s="5" t="s">
        <v>85</v>
      </c>
      <c r="J70" s="5" t="s">
        <v>86</v>
      </c>
      <c r="K70" s="5" t="s">
        <v>87</v>
      </c>
      <c r="L70" s="5" t="s">
        <v>70</v>
      </c>
    </row>
    <row r="71" spans="1:20" ht="32.25" customHeight="1" x14ac:dyDescent="0.2">
      <c r="A71" s="32" t="s">
        <v>4</v>
      </c>
      <c r="B71" s="33" t="s">
        <v>71</v>
      </c>
      <c r="C71" s="34">
        <f>AVERAGE(B7:B16)</f>
        <v>48.31</v>
      </c>
      <c r="D71" s="34">
        <f>AVERAGE(B18:B27)</f>
        <v>49.06</v>
      </c>
      <c r="E71" s="34">
        <f t="shared" ref="E71:E84" si="5">C71-D71</f>
        <v>-0.75</v>
      </c>
      <c r="F71" s="34">
        <f>STDEV(B7:B16)</f>
        <v>0.81301906496711474</v>
      </c>
      <c r="G71" s="34">
        <f>STDEV(B18:B27)</f>
        <v>1.0803291679442477</v>
      </c>
      <c r="H71" s="34">
        <f t="shared" ref="H71:H84" si="6">IF(F71=0,"—",D71/SQRT(F71^2/10+G71^2/10))</f>
        <v>114.74301301093007</v>
      </c>
      <c r="I71" s="39">
        <v>18</v>
      </c>
      <c r="J71" s="40">
        <f t="shared" ref="J71:J84" si="7">IF(ISNUMBER(H71),TDIST(ABS(H71),I71,2),"—")</f>
        <v>3.0590175171360621E-27</v>
      </c>
      <c r="K71" s="36" t="str">
        <f t="shared" ref="K71:K84" si="8">IF(ISNUMBER(J71),IF(J71&lt;0.05,"YES ✱","no"),FALSE())</f>
        <v>YES ✱</v>
      </c>
      <c r="L71" s="37" t="str">
        <f t="shared" ref="L71:L84" si="9">IF(ISNUMBER(J71),IF(J71&lt;0.05,IF(J71&lt;0.01,"Significant (p&lt;0.01) — investigate","Significant (p&lt;0.05) — note and explain"),"Not significant — groups equivalent on this element"),FALSE())</f>
        <v>Significant (p&lt;0.01) — investigate</v>
      </c>
    </row>
    <row r="72" spans="1:20" ht="32.25" customHeight="1" x14ac:dyDescent="0.2">
      <c r="A72" s="32" t="s">
        <v>5</v>
      </c>
      <c r="B72" s="33" t="s">
        <v>72</v>
      </c>
      <c r="C72" s="34">
        <f>AVERAGE(C7:C16)</f>
        <v>17.490000000000002</v>
      </c>
      <c r="D72" s="34">
        <f>AVERAGE(C18:C27)</f>
        <v>17.945</v>
      </c>
      <c r="E72" s="34">
        <f t="shared" si="5"/>
        <v>-0.45499999999999829</v>
      </c>
      <c r="F72" s="34">
        <f>STDEV(C7:C16)</f>
        <v>0.38137179293236162</v>
      </c>
      <c r="G72" s="34">
        <f>STDEV(C18:C27)</f>
        <v>0.23740495174092555</v>
      </c>
      <c r="H72" s="34">
        <f t="shared" si="6"/>
        <v>126.32139228980353</v>
      </c>
      <c r="I72" s="39">
        <v>18</v>
      </c>
      <c r="J72" s="40">
        <f t="shared" si="7"/>
        <v>5.4319661996803885E-28</v>
      </c>
      <c r="K72" s="36" t="str">
        <f t="shared" si="8"/>
        <v>YES ✱</v>
      </c>
      <c r="L72" s="37" t="str">
        <f t="shared" si="9"/>
        <v>Significant (p&lt;0.01) — investigate</v>
      </c>
    </row>
    <row r="73" spans="1:20" ht="32.25" customHeight="1" x14ac:dyDescent="0.2">
      <c r="A73" s="32" t="s">
        <v>6</v>
      </c>
      <c r="B73" s="33" t="s">
        <v>73</v>
      </c>
      <c r="C73" s="34">
        <f>AVERAGE(D7:D16)</f>
        <v>9.5629999999999988</v>
      </c>
      <c r="D73" s="34">
        <f>AVERAGE(D18:D27)</f>
        <v>9.5939999999999994</v>
      </c>
      <c r="E73" s="34">
        <f t="shared" si="5"/>
        <v>-3.1000000000000583E-2</v>
      </c>
      <c r="F73" s="34">
        <f>STDEV(D7:D16)</f>
        <v>0.19877681510232068</v>
      </c>
      <c r="G73" s="34">
        <f>STDEV(D18:D27)</f>
        <v>0.14645439183885475</v>
      </c>
      <c r="H73" s="34">
        <f t="shared" si="6"/>
        <v>122.87775753643955</v>
      </c>
      <c r="I73" s="39">
        <v>18</v>
      </c>
      <c r="J73" s="40">
        <f t="shared" si="7"/>
        <v>8.9286243892748496E-28</v>
      </c>
      <c r="K73" s="36" t="str">
        <f t="shared" si="8"/>
        <v>YES ✱</v>
      </c>
      <c r="L73" s="37" t="str">
        <f t="shared" si="9"/>
        <v>Significant (p&lt;0.01) — investigate</v>
      </c>
    </row>
    <row r="74" spans="1:20" ht="32.25" customHeight="1" x14ac:dyDescent="0.2">
      <c r="A74" s="32" t="s">
        <v>7</v>
      </c>
      <c r="B74" s="33" t="s">
        <v>74</v>
      </c>
      <c r="C74" s="34">
        <f>AVERAGE(E7:E16)</f>
        <v>1.3149999999999999</v>
      </c>
      <c r="D74" s="34">
        <f>AVERAGE(E18:E27)</f>
        <v>1.2959999999999998</v>
      </c>
      <c r="E74" s="34">
        <f t="shared" si="5"/>
        <v>1.9000000000000128E-2</v>
      </c>
      <c r="F74" s="34">
        <f>STDEV(E7:E16)</f>
        <v>0.12158673173226318</v>
      </c>
      <c r="G74" s="34">
        <f>STDEV(E18:E27)</f>
        <v>0.12456145292808508</v>
      </c>
      <c r="H74" s="34">
        <f t="shared" si="6"/>
        <v>23.544618090672188</v>
      </c>
      <c r="I74" s="39">
        <v>18</v>
      </c>
      <c r="J74" s="40">
        <f t="shared" si="7"/>
        <v>5.6625912981361056E-15</v>
      </c>
      <c r="K74" s="36" t="str">
        <f t="shared" si="8"/>
        <v>YES ✱</v>
      </c>
      <c r="L74" s="37" t="str">
        <f t="shared" si="9"/>
        <v>Significant (p&lt;0.01) — investigate</v>
      </c>
    </row>
    <row r="75" spans="1:20" ht="32.25" customHeight="1" x14ac:dyDescent="0.2">
      <c r="A75" s="38" t="s">
        <v>8</v>
      </c>
      <c r="B75" s="32" t="s">
        <v>75</v>
      </c>
      <c r="C75" s="34">
        <f>AVERAGE(F7:F16)</f>
        <v>1.823</v>
      </c>
      <c r="D75" s="34">
        <f>AVERAGE(F18:F27)</f>
        <v>1.8270000000000004</v>
      </c>
      <c r="E75" s="34">
        <f t="shared" si="5"/>
        <v>-4.0000000000004476E-3</v>
      </c>
      <c r="F75" s="34">
        <f>STDEV(F7:F16)</f>
        <v>4.8085571871635473E-2</v>
      </c>
      <c r="G75" s="34">
        <f>STDEV(F18:F27)</f>
        <v>3.5292429153510503E-2</v>
      </c>
      <c r="H75" s="34">
        <f t="shared" si="6"/>
        <v>96.861042344419729</v>
      </c>
      <c r="I75" s="39">
        <v>18</v>
      </c>
      <c r="J75" s="40">
        <f t="shared" si="7"/>
        <v>6.4257802796972446E-26</v>
      </c>
      <c r="K75" s="36" t="str">
        <f t="shared" si="8"/>
        <v>YES ✱</v>
      </c>
      <c r="L75" s="37" t="str">
        <f t="shared" si="9"/>
        <v>Significant (p&lt;0.01) — investigate</v>
      </c>
    </row>
    <row r="76" spans="1:20" ht="32.25" customHeight="1" x14ac:dyDescent="0.2">
      <c r="A76" s="32" t="s">
        <v>9</v>
      </c>
      <c r="B76" s="33" t="s">
        <v>74</v>
      </c>
      <c r="C76" s="34">
        <f>AVERAGE(G7:G16)</f>
        <v>0.97300000000000009</v>
      </c>
      <c r="D76" s="34">
        <f>AVERAGE(G18:G27)</f>
        <v>0.97299999999999986</v>
      </c>
      <c r="E76" s="34">
        <f t="shared" si="5"/>
        <v>0</v>
      </c>
      <c r="F76" s="34">
        <f>STDEV(G7:G16)</f>
        <v>3.3015148038438351E-2</v>
      </c>
      <c r="G76" s="34">
        <f>STDEV(G18:G27)</f>
        <v>4.2959929650263115E-2</v>
      </c>
      <c r="H76" s="34">
        <f t="shared" si="6"/>
        <v>56.789453366149239</v>
      </c>
      <c r="I76" s="39">
        <v>18</v>
      </c>
      <c r="J76" s="40">
        <f t="shared" si="7"/>
        <v>9.2948392025251023E-22</v>
      </c>
      <c r="K76" s="36" t="str">
        <f t="shared" si="8"/>
        <v>YES ✱</v>
      </c>
      <c r="L76" s="37" t="str">
        <f t="shared" si="9"/>
        <v>Significant (p&lt;0.01) — investigate</v>
      </c>
    </row>
    <row r="77" spans="1:20" ht="32.25" customHeight="1" x14ac:dyDescent="0.2">
      <c r="A77" s="32" t="s">
        <v>10</v>
      </c>
      <c r="B77" s="33" t="s">
        <v>74</v>
      </c>
      <c r="C77" s="34">
        <f>AVERAGE(H7:H16)</f>
        <v>1.214</v>
      </c>
      <c r="D77" s="34">
        <f>AVERAGE(H18:H27)</f>
        <v>1.244</v>
      </c>
      <c r="E77" s="34">
        <f t="shared" si="5"/>
        <v>-3.0000000000000027E-2</v>
      </c>
      <c r="F77" s="34">
        <f>STDEV(H7:H16)</f>
        <v>3.1340424729448452E-2</v>
      </c>
      <c r="G77" s="34">
        <f>STDEV(H18:H27)</f>
        <v>4.9035134795822159E-2</v>
      </c>
      <c r="H77" s="34">
        <f t="shared" si="6"/>
        <v>67.598047775006918</v>
      </c>
      <c r="I77" s="39">
        <v>18</v>
      </c>
      <c r="J77" s="40">
        <f t="shared" si="7"/>
        <v>4.0955707786392497E-23</v>
      </c>
      <c r="K77" s="36" t="str">
        <f t="shared" si="8"/>
        <v>YES ✱</v>
      </c>
      <c r="L77" s="37" t="str">
        <f t="shared" si="9"/>
        <v>Significant (p&lt;0.01) — investigate</v>
      </c>
    </row>
    <row r="78" spans="1:20" ht="32.25" customHeight="1" x14ac:dyDescent="0.2">
      <c r="A78" s="32" t="s">
        <v>11</v>
      </c>
      <c r="B78" s="33" t="s">
        <v>76</v>
      </c>
      <c r="C78" s="34">
        <f>AVERAGE(I7:I16)</f>
        <v>1.5500000000000003E-2</v>
      </c>
      <c r="D78" s="34">
        <f>AVERAGE(I18:I27)</f>
        <v>1.61E-2</v>
      </c>
      <c r="E78" s="34">
        <f t="shared" si="5"/>
        <v>-5.9999999999999637E-4</v>
      </c>
      <c r="F78" s="34">
        <f>STDEV(I7:I16)</f>
        <v>7.0710678118654805E-4</v>
      </c>
      <c r="G78" s="34">
        <f>STDEV(I18:I27)</f>
        <v>1.4491376746189437E-3</v>
      </c>
      <c r="H78" s="34">
        <f t="shared" si="6"/>
        <v>31.57469775724763</v>
      </c>
      <c r="I78" s="39">
        <v>18</v>
      </c>
      <c r="J78" s="40">
        <f t="shared" si="7"/>
        <v>3.244708091218579E-17</v>
      </c>
      <c r="K78" s="36" t="str">
        <f t="shared" si="8"/>
        <v>YES ✱</v>
      </c>
      <c r="L78" s="37" t="str">
        <f t="shared" si="9"/>
        <v>Significant (p&lt;0.01) — investigate</v>
      </c>
    </row>
    <row r="79" spans="1:20" ht="32.25" customHeight="1" x14ac:dyDescent="0.2">
      <c r="A79" s="32" t="s">
        <v>12</v>
      </c>
      <c r="B79" s="33" t="s">
        <v>72</v>
      </c>
      <c r="C79" s="34">
        <f>AVERAGE(J7:J16)</f>
        <v>1.4889999999999999</v>
      </c>
      <c r="D79" s="34">
        <f>AVERAGE(J18:J27)</f>
        <v>1.4919999999999998</v>
      </c>
      <c r="E79" s="34">
        <f t="shared" si="5"/>
        <v>-2.9999999999998916E-3</v>
      </c>
      <c r="F79" s="34">
        <f>STDEV(J7:J16)</f>
        <v>2.7668674625929538E-2</v>
      </c>
      <c r="G79" s="34">
        <f>STDEV(J18:J27)</f>
        <v>2.9739610697593975E-2</v>
      </c>
      <c r="H79" s="34">
        <f t="shared" si="6"/>
        <v>116.1520424688991</v>
      </c>
      <c r="I79" s="39">
        <v>18</v>
      </c>
      <c r="J79" s="40">
        <f t="shared" si="7"/>
        <v>2.4563678019856109E-27</v>
      </c>
      <c r="K79" s="36" t="str">
        <f t="shared" si="8"/>
        <v>YES ✱</v>
      </c>
      <c r="L79" s="37" t="str">
        <f t="shared" si="9"/>
        <v>Significant (p&lt;0.01) — investigate</v>
      </c>
    </row>
    <row r="80" spans="1:20" ht="32.25" customHeight="1" x14ac:dyDescent="0.2">
      <c r="A80" s="32" t="s">
        <v>13</v>
      </c>
      <c r="B80" s="33" t="s">
        <v>77</v>
      </c>
      <c r="C80" s="34">
        <f>AVERAGE(K7:K16)</f>
        <v>0.17999999999999997</v>
      </c>
      <c r="D80" s="34">
        <f>AVERAGE(K18:K27)</f>
        <v>0.17599999999999996</v>
      </c>
      <c r="E80" s="34">
        <f t="shared" si="5"/>
        <v>4.0000000000000036E-3</v>
      </c>
      <c r="F80" s="34">
        <f>STDEV(K7:K16)</f>
        <v>1.6329931618554522E-2</v>
      </c>
      <c r="G80" s="34">
        <f>STDEV(K18:K27)</f>
        <v>1.3498971154211056E-2</v>
      </c>
      <c r="H80" s="34">
        <f t="shared" si="6"/>
        <v>26.268981821543708</v>
      </c>
      <c r="I80" s="39">
        <v>18</v>
      </c>
      <c r="J80" s="40">
        <f t="shared" si="7"/>
        <v>8.3200729431969176E-16</v>
      </c>
      <c r="K80" s="36" t="str">
        <f t="shared" si="8"/>
        <v>YES ✱</v>
      </c>
      <c r="L80" s="37" t="str">
        <f t="shared" si="9"/>
        <v>Significant (p&lt;0.01) — investigate</v>
      </c>
    </row>
    <row r="81" spans="1:20" ht="32.25" customHeight="1" x14ac:dyDescent="0.2">
      <c r="A81" s="32" t="s">
        <v>14</v>
      </c>
      <c r="B81" s="33" t="s">
        <v>78</v>
      </c>
      <c r="C81" s="34">
        <f>AVERAGE(L7:L16)</f>
        <v>0.45300000000000001</v>
      </c>
      <c r="D81" s="34">
        <f>AVERAGE(L18:L27)</f>
        <v>0.45199999999999996</v>
      </c>
      <c r="E81" s="34">
        <f t="shared" si="5"/>
        <v>1.0000000000000564E-3</v>
      </c>
      <c r="F81" s="34">
        <f>STDEV(L7:L16)</f>
        <v>3.4009802508492559E-2</v>
      </c>
      <c r="G81" s="34">
        <f>STDEV(L18:L27)</f>
        <v>4.5898438608156032E-2</v>
      </c>
      <c r="H81" s="34">
        <f t="shared" si="6"/>
        <v>25.02117591414639</v>
      </c>
      <c r="I81" s="39">
        <v>18</v>
      </c>
      <c r="J81" s="40">
        <f t="shared" si="7"/>
        <v>1.9540157986071908E-15</v>
      </c>
      <c r="K81" s="36" t="str">
        <f t="shared" si="8"/>
        <v>YES ✱</v>
      </c>
      <c r="L81" s="37" t="str">
        <f t="shared" si="9"/>
        <v>Significant (p&lt;0.01) — investigate</v>
      </c>
    </row>
    <row r="82" spans="1:20" ht="15" customHeight="1" x14ac:dyDescent="0.2">
      <c r="A82" s="32" t="s">
        <v>15</v>
      </c>
      <c r="B82" s="33" t="s">
        <v>79</v>
      </c>
      <c r="C82" s="34">
        <f>AVERAGE(M7:M16)</f>
        <v>9.9999999999999985E-3</v>
      </c>
      <c r="D82" s="34">
        <f>AVERAGE(M18:M27)</f>
        <v>9.9999999999999985E-3</v>
      </c>
      <c r="E82" s="34">
        <f t="shared" si="5"/>
        <v>0</v>
      </c>
      <c r="F82" s="34">
        <f>STDEV(M7:M16)</f>
        <v>1.8285590982170319E-18</v>
      </c>
      <c r="G82" s="34">
        <f>STDEV(M18:M27)</f>
        <v>1.8285590982170319E-18</v>
      </c>
      <c r="H82" s="41">
        <f t="shared" si="6"/>
        <v>1.2228579211249482E+16</v>
      </c>
      <c r="I82" s="39">
        <v>18</v>
      </c>
      <c r="J82" s="40">
        <f t="shared" si="7"/>
        <v>9.8391948086480944E-280</v>
      </c>
      <c r="K82" s="36" t="str">
        <f t="shared" si="8"/>
        <v>YES ✱</v>
      </c>
      <c r="L82" s="37" t="str">
        <f t="shared" si="9"/>
        <v>Significant (p&lt;0.01) — investigate</v>
      </c>
    </row>
    <row r="83" spans="1:20" ht="15" customHeight="1" x14ac:dyDescent="0.2">
      <c r="A83" s="32" t="s">
        <v>16</v>
      </c>
      <c r="B83" s="33" t="s">
        <v>79</v>
      </c>
      <c r="C83" s="34">
        <f>AVERAGE(N7:N16)</f>
        <v>6.0000000000000012E-2</v>
      </c>
      <c r="D83" s="34">
        <f>AVERAGE(N18:N27)</f>
        <v>6.0000000000000012E-2</v>
      </c>
      <c r="E83" s="34">
        <f t="shared" si="5"/>
        <v>0</v>
      </c>
      <c r="F83" s="34">
        <f>STDEV(N7:N16)</f>
        <v>1.4628472785736255E-17</v>
      </c>
      <c r="G83" s="34">
        <f>STDEV(N18:N27)</f>
        <v>1.4628472785736255E-17</v>
      </c>
      <c r="H83" s="41">
        <f t="shared" si="6"/>
        <v>9171434408437114</v>
      </c>
      <c r="I83" s="39">
        <v>18</v>
      </c>
      <c r="J83" s="40">
        <f t="shared" si="7"/>
        <v>1.7452466711275609E-277</v>
      </c>
      <c r="K83" s="36" t="str">
        <f t="shared" si="8"/>
        <v>YES ✱</v>
      </c>
      <c r="L83" s="37" t="str">
        <f t="shared" si="9"/>
        <v>Significant (p&lt;0.01) — investigate</v>
      </c>
    </row>
    <row r="84" spans="1:20" ht="32.25" customHeight="1" x14ac:dyDescent="0.2">
      <c r="A84" s="32" t="s">
        <v>17</v>
      </c>
      <c r="B84" s="33" t="s">
        <v>80</v>
      </c>
      <c r="C84" s="34">
        <f>AVERAGE(O7:O16)</f>
        <v>16.910000000000004</v>
      </c>
      <c r="D84" s="34">
        <f>AVERAGE(O18:O27)</f>
        <v>16.66</v>
      </c>
      <c r="E84" s="34">
        <f t="shared" si="5"/>
        <v>0.25000000000000355</v>
      </c>
      <c r="F84" s="34">
        <f>STDEV(O7:O16)</f>
        <v>0.47539457296018817</v>
      </c>
      <c r="G84" s="34">
        <f>STDEV(O18:O27)</f>
        <v>1.0521934760827556</v>
      </c>
      <c r="H84" s="34">
        <f t="shared" si="6"/>
        <v>45.629091622929778</v>
      </c>
      <c r="I84" s="39">
        <v>18</v>
      </c>
      <c r="J84" s="40">
        <f t="shared" si="7"/>
        <v>4.6495356560281486E-20</v>
      </c>
      <c r="K84" s="36" t="str">
        <f t="shared" si="8"/>
        <v>YES ✱</v>
      </c>
      <c r="L84" s="37" t="str">
        <f t="shared" si="9"/>
        <v>Significant (p&lt;0.01) — investigate</v>
      </c>
    </row>
    <row r="86" spans="1:20" s="57" customFormat="1" ht="19.5" customHeight="1" x14ac:dyDescent="0.2">
      <c r="A86" s="56" t="s">
        <v>88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</row>
    <row r="87" spans="1:20" ht="36" customHeight="1" x14ac:dyDescent="0.2">
      <c r="A87" s="20" t="s">
        <v>89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spans="1:20" ht="19.5" customHeight="1" x14ac:dyDescent="0.2">
      <c r="A88" s="13" t="s">
        <v>90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5" customHeight="1" x14ac:dyDescent="0.2">
      <c r="A89" s="21" t="s">
        <v>91</v>
      </c>
      <c r="B89" s="21" t="s">
        <v>92</v>
      </c>
      <c r="C89" s="22" t="s">
        <v>93</v>
      </c>
      <c r="D89" s="22"/>
      <c r="E89" s="22"/>
      <c r="F89" s="22"/>
      <c r="G89" s="22"/>
      <c r="H89" s="22"/>
    </row>
    <row r="90" spans="1:20" ht="19.5" customHeight="1" x14ac:dyDescent="0.2">
      <c r="A90" s="23" t="s">
        <v>94</v>
      </c>
      <c r="B90" s="24">
        <v>0.05</v>
      </c>
      <c r="C90" s="25" t="s">
        <v>95</v>
      </c>
      <c r="D90" s="25"/>
      <c r="E90" s="25"/>
      <c r="F90" s="25"/>
      <c r="G90" s="25"/>
      <c r="H90" s="25"/>
    </row>
    <row r="91" spans="1:20" ht="19.5" customHeight="1" x14ac:dyDescent="0.2">
      <c r="A91" s="23" t="s">
        <v>96</v>
      </c>
      <c r="B91" s="24">
        <v>0.1</v>
      </c>
      <c r="C91" s="25" t="s">
        <v>97</v>
      </c>
      <c r="D91" s="25"/>
      <c r="E91" s="25"/>
      <c r="F91" s="25"/>
      <c r="G91" s="25"/>
      <c r="H91" s="25"/>
    </row>
    <row r="92" spans="1:20" ht="19.5" customHeight="1" x14ac:dyDescent="0.2">
      <c r="A92" s="23" t="s">
        <v>98</v>
      </c>
      <c r="B92" s="24">
        <v>0.15</v>
      </c>
      <c r="C92" s="25" t="s">
        <v>99</v>
      </c>
      <c r="D92" s="25"/>
      <c r="E92" s="25"/>
      <c r="F92" s="25"/>
      <c r="G92" s="25"/>
      <c r="H92" s="25"/>
    </row>
    <row r="94" spans="1:20" ht="19.5" customHeight="1" x14ac:dyDescent="0.2">
      <c r="A94" s="13" t="s">
        <v>100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48" customHeight="1" x14ac:dyDescent="0.2">
      <c r="A95" s="5" t="s">
        <v>60</v>
      </c>
      <c r="B95" s="5" t="s">
        <v>61</v>
      </c>
      <c r="C95" s="5" t="s">
        <v>101</v>
      </c>
      <c r="D95" s="5" t="s">
        <v>62</v>
      </c>
      <c r="E95" s="5" t="s">
        <v>63</v>
      </c>
      <c r="F95" s="5" t="s">
        <v>102</v>
      </c>
      <c r="G95" s="5" t="s">
        <v>103</v>
      </c>
      <c r="H95" s="5" t="s">
        <v>85</v>
      </c>
      <c r="I95" s="5" t="s">
        <v>104</v>
      </c>
      <c r="J95" s="5" t="s">
        <v>105</v>
      </c>
      <c r="K95" s="5" t="s">
        <v>106</v>
      </c>
      <c r="L95" s="5" t="s">
        <v>107</v>
      </c>
      <c r="M95" s="5" t="s">
        <v>108</v>
      </c>
      <c r="N95" s="5" t="s">
        <v>109</v>
      </c>
      <c r="O95" s="5" t="s">
        <v>110</v>
      </c>
    </row>
    <row r="96" spans="1:20" ht="15" customHeight="1" x14ac:dyDescent="0.2">
      <c r="A96" s="14" t="s">
        <v>4</v>
      </c>
      <c r="B96" s="15" t="s">
        <v>71</v>
      </c>
      <c r="C96" s="16">
        <f>B91*(AVERAGE(B7:B16)+AVERAGE(B18:B27))/2</f>
        <v>4.8685000000000009</v>
      </c>
      <c r="D96" s="26">
        <f>AVERAGE(B7:B16)</f>
        <v>48.31</v>
      </c>
      <c r="E96" s="27">
        <f>AVERAGE(B18:B27)</f>
        <v>49.06</v>
      </c>
      <c r="F96" s="16">
        <f t="shared" ref="F96:F109" si="10">D96-E96</f>
        <v>-0.75</v>
      </c>
      <c r="G96" s="16">
        <f>SQRT((STDEV(B7:B16)^2/10)+(STDEV(B18:B27)^2/10))</f>
        <v>0.42756416022757476</v>
      </c>
      <c r="H96" s="19">
        <v>18</v>
      </c>
      <c r="I96" s="16">
        <f t="shared" ref="I96:I106" si="11">(F96+C96)/G96</f>
        <v>9.6324724640341532</v>
      </c>
      <c r="J96" s="28">
        <f t="shared" ref="J96:J106" si="12">IF(ISNUMBER(I96),IF(I96&lt;0,1,TDIST(I96,H96,1)),1)</f>
        <v>7.9206797152756146E-9</v>
      </c>
      <c r="K96" s="16">
        <f t="shared" ref="K96:K106" si="13">(F96-C96)/G96</f>
        <v>-13.140717867955782</v>
      </c>
      <c r="L96" s="28">
        <f t="shared" ref="L96:L106" si="14">TDIST(ABS(K96),H96,1)</f>
        <v>5.7713401023109874E-11</v>
      </c>
      <c r="M96" s="29">
        <f t="shared" ref="M96:M106" si="15">MAX(J96,L96)</f>
        <v>7.9206797152756146E-9</v>
      </c>
      <c r="N96" s="30">
        <v>0.05</v>
      </c>
      <c r="O96" s="19" t="str">
        <f t="shared" ref="O96:O109" si="16">IF(M96&lt;N96,"EQUIVALENT (p=" &amp; TEXT(M96,"0.00000") &amp; ")","Not demonstrated (p=" &amp; TEXT(M96,"0.00000") &amp; ")")</f>
        <v>EQUIVALENT (p=0.00000)</v>
      </c>
    </row>
    <row r="97" spans="1:20" ht="15" customHeight="1" x14ac:dyDescent="0.2">
      <c r="A97" s="14" t="s">
        <v>5</v>
      </c>
      <c r="B97" s="15" t="s">
        <v>72</v>
      </c>
      <c r="C97" s="16">
        <f>B91*(AVERAGE(C7:C16)+AVERAGE(C18:C27))/2</f>
        <v>1.7717500000000002</v>
      </c>
      <c r="D97" s="26">
        <f>AVERAGE(C7:C16)</f>
        <v>17.490000000000002</v>
      </c>
      <c r="E97" s="27">
        <f>AVERAGE(C18:C27)</f>
        <v>17.945</v>
      </c>
      <c r="F97" s="16">
        <f t="shared" si="10"/>
        <v>-0.45499999999999829</v>
      </c>
      <c r="G97" s="16">
        <f>SQRT((STDEV(C7:C16)^2/10)+(STDEV(C18:C27)^2/10))</f>
        <v>0.1420582822490668</v>
      </c>
      <c r="H97" s="19">
        <v>18</v>
      </c>
      <c r="I97" s="16">
        <f t="shared" si="11"/>
        <v>9.2690829366173872</v>
      </c>
      <c r="J97" s="28">
        <f t="shared" si="12"/>
        <v>1.4171517362329225E-8</v>
      </c>
      <c r="K97" s="16">
        <f t="shared" si="13"/>
        <v>-15.674904445880177</v>
      </c>
      <c r="L97" s="28">
        <f t="shared" si="14"/>
        <v>3.0792273440085698E-12</v>
      </c>
      <c r="M97" s="29">
        <f t="shared" si="15"/>
        <v>1.4171517362329225E-8</v>
      </c>
      <c r="N97" s="30">
        <v>0.05</v>
      </c>
      <c r="O97" s="19" t="str">
        <f t="shared" si="16"/>
        <v>EQUIVALENT (p=0.00000)</v>
      </c>
    </row>
    <row r="98" spans="1:20" ht="15" customHeight="1" x14ac:dyDescent="0.2">
      <c r="A98" s="14" t="s">
        <v>6</v>
      </c>
      <c r="B98" s="15" t="s">
        <v>73</v>
      </c>
      <c r="C98" s="16">
        <f>B91*(AVERAGE(D7:D16)+AVERAGE(D18:D27))/2</f>
        <v>0.95784999999999987</v>
      </c>
      <c r="D98" s="26">
        <f>AVERAGE(D7:D16)</f>
        <v>9.5629999999999988</v>
      </c>
      <c r="E98" s="27">
        <f>AVERAGE(D18:D27)</f>
        <v>9.5939999999999994</v>
      </c>
      <c r="F98" s="16">
        <f t="shared" si="10"/>
        <v>-3.1000000000000583E-2</v>
      </c>
      <c r="G98" s="16">
        <f>SQRT((STDEV(D7:D16)^2/10)+(STDEV(D18:D27)^2/10))</f>
        <v>7.8077596729862905E-2</v>
      </c>
      <c r="H98" s="19">
        <v>18</v>
      </c>
      <c r="I98" s="16">
        <f t="shared" si="11"/>
        <v>11.870882798900242</v>
      </c>
      <c r="J98" s="28">
        <f t="shared" si="12"/>
        <v>3.002695886475956E-10</v>
      </c>
      <c r="K98" s="16">
        <f t="shared" si="13"/>
        <v>-12.664964617459695</v>
      </c>
      <c r="L98" s="28">
        <f t="shared" si="14"/>
        <v>1.0539084151422568E-10</v>
      </c>
      <c r="M98" s="29">
        <f t="shared" si="15"/>
        <v>3.002695886475956E-10</v>
      </c>
      <c r="N98" s="30">
        <v>0.05</v>
      </c>
      <c r="O98" s="19" t="str">
        <f t="shared" si="16"/>
        <v>EQUIVALENT (p=0.00000)</v>
      </c>
    </row>
    <row r="99" spans="1:20" ht="15" customHeight="1" x14ac:dyDescent="0.2">
      <c r="A99" s="14" t="s">
        <v>7</v>
      </c>
      <c r="B99" s="15" t="s">
        <v>74</v>
      </c>
      <c r="C99" s="16">
        <f>B91*(AVERAGE(E7:E16)+AVERAGE(E18:E27))/2</f>
        <v>0.13055</v>
      </c>
      <c r="D99" s="26">
        <f>AVERAGE(E7:E16)</f>
        <v>1.3149999999999999</v>
      </c>
      <c r="E99" s="27">
        <f>AVERAGE(E18:E27)</f>
        <v>1.2959999999999998</v>
      </c>
      <c r="F99" s="16">
        <f t="shared" si="10"/>
        <v>1.9000000000000128E-2</v>
      </c>
      <c r="G99" s="16">
        <f>SQRT((STDEV(E7:E16)^2/10)+(STDEV(E18:E27)^2/10))</f>
        <v>5.5044426501589507E-2</v>
      </c>
      <c r="H99" s="19">
        <v>18</v>
      </c>
      <c r="I99" s="16">
        <f t="shared" si="11"/>
        <v>2.7168963236574299</v>
      </c>
      <c r="J99" s="28">
        <f t="shared" si="12"/>
        <v>7.0674153133568037E-3</v>
      </c>
      <c r="K99" s="16">
        <f t="shared" si="13"/>
        <v>-2.0265448672951232</v>
      </c>
      <c r="L99" s="28">
        <f t="shared" si="14"/>
        <v>2.8893719565637337E-2</v>
      </c>
      <c r="M99" s="29">
        <f t="shared" si="15"/>
        <v>2.8893719565637337E-2</v>
      </c>
      <c r="N99" s="30">
        <v>0.05</v>
      </c>
      <c r="O99" s="19" t="str">
        <f t="shared" si="16"/>
        <v>EQUIVALENT (p=0.02889)</v>
      </c>
    </row>
    <row r="100" spans="1:20" ht="15" customHeight="1" x14ac:dyDescent="0.2">
      <c r="A100" s="18" t="s">
        <v>8</v>
      </c>
      <c r="B100" s="14" t="s">
        <v>75</v>
      </c>
      <c r="C100" s="16">
        <f>B91*(AVERAGE(F7:F16)+AVERAGE(F18:F27))/2</f>
        <v>0.18250000000000002</v>
      </c>
      <c r="D100" s="26">
        <f>AVERAGE(F7:F16)</f>
        <v>1.823</v>
      </c>
      <c r="E100" s="27">
        <f>AVERAGE(F18:F27)</f>
        <v>1.8270000000000004</v>
      </c>
      <c r="F100" s="16">
        <f t="shared" si="10"/>
        <v>-4.0000000000004476E-3</v>
      </c>
      <c r="G100" s="16">
        <f>SQRT((STDEV(F7:F16)^2/10)+(STDEV(F18:F27)^2/10))</f>
        <v>1.8862072467726813E-2</v>
      </c>
      <c r="H100" s="19">
        <v>18</v>
      </c>
      <c r="I100" s="16">
        <f t="shared" si="11"/>
        <v>9.4634351715812137</v>
      </c>
      <c r="J100" s="28">
        <f t="shared" si="12"/>
        <v>1.0362463850025357E-8</v>
      </c>
      <c r="K100" s="16">
        <f t="shared" si="13"/>
        <v>-9.8875667198874222</v>
      </c>
      <c r="L100" s="28">
        <f t="shared" si="14"/>
        <v>5.3126964877839661E-9</v>
      </c>
      <c r="M100" s="29">
        <f t="shared" si="15"/>
        <v>1.0362463850025357E-8</v>
      </c>
      <c r="N100" s="30">
        <v>0.05</v>
      </c>
      <c r="O100" s="17" t="str">
        <f t="shared" si="16"/>
        <v>EQUIVALENT (p=0.00000)</v>
      </c>
    </row>
    <row r="101" spans="1:20" ht="15" customHeight="1" x14ac:dyDescent="0.2">
      <c r="A101" s="14" t="s">
        <v>9</v>
      </c>
      <c r="B101" s="15" t="s">
        <v>74</v>
      </c>
      <c r="C101" s="16">
        <f>B91*(AVERAGE(G7:G16)+AVERAGE(G18:G27))/2</f>
        <v>9.7299999999999998E-2</v>
      </c>
      <c r="D101" s="26">
        <f>AVERAGE(G7:G16)</f>
        <v>0.97300000000000009</v>
      </c>
      <c r="E101" s="27">
        <f>AVERAGE(G18:G27)</f>
        <v>0.97299999999999986</v>
      </c>
      <c r="F101" s="16">
        <f t="shared" si="10"/>
        <v>0</v>
      </c>
      <c r="G101" s="16">
        <f>SQRT((STDEV(G7:G16)^2/10)+(STDEV(G18:G27)^2/10))</f>
        <v>1.7133463034528531E-2</v>
      </c>
      <c r="H101" s="19">
        <v>18</v>
      </c>
      <c r="I101" s="16">
        <f t="shared" si="11"/>
        <v>5.678945336614925</v>
      </c>
      <c r="J101" s="28">
        <f t="shared" si="12"/>
        <v>1.0947180674669885E-5</v>
      </c>
      <c r="K101" s="16">
        <f t="shared" si="13"/>
        <v>-5.678945336614925</v>
      </c>
      <c r="L101" s="28">
        <f t="shared" si="14"/>
        <v>1.0947180674669885E-5</v>
      </c>
      <c r="M101" s="29">
        <f t="shared" si="15"/>
        <v>1.0947180674669885E-5</v>
      </c>
      <c r="N101" s="30">
        <v>0.05</v>
      </c>
      <c r="O101" s="19" t="str">
        <f t="shared" si="16"/>
        <v>EQUIVALENT (p=0.00001)</v>
      </c>
    </row>
    <row r="102" spans="1:20" ht="15" customHeight="1" x14ac:dyDescent="0.2">
      <c r="A102" s="14" t="s">
        <v>10</v>
      </c>
      <c r="B102" s="15" t="s">
        <v>74</v>
      </c>
      <c r="C102" s="16">
        <f>B91*(AVERAGE(H7:H16)+AVERAGE(H18:H27))/2</f>
        <v>0.12290000000000001</v>
      </c>
      <c r="D102" s="26">
        <f>AVERAGE(H7:H16)</f>
        <v>1.214</v>
      </c>
      <c r="E102" s="27">
        <f>AVERAGE(H18:H27)</f>
        <v>1.244</v>
      </c>
      <c r="F102" s="16">
        <f t="shared" si="10"/>
        <v>-3.0000000000000027E-2</v>
      </c>
      <c r="G102" s="16">
        <f>SQRT((STDEV(H7:H16)^2/10)+(STDEV(H18:H27)^2/10))</f>
        <v>1.8402898322456365E-2</v>
      </c>
      <c r="H102" s="19">
        <v>18</v>
      </c>
      <c r="I102" s="16">
        <f t="shared" si="11"/>
        <v>5.0481178764454517</v>
      </c>
      <c r="J102" s="28">
        <f t="shared" si="12"/>
        <v>4.1834456640794079E-5</v>
      </c>
      <c r="K102" s="16">
        <f t="shared" si="13"/>
        <v>-8.3084738784554339</v>
      </c>
      <c r="L102" s="28">
        <f t="shared" si="14"/>
        <v>7.1195544371241767E-8</v>
      </c>
      <c r="M102" s="29">
        <f t="shared" si="15"/>
        <v>4.1834456640794079E-5</v>
      </c>
      <c r="N102" s="30">
        <v>0.05</v>
      </c>
      <c r="O102" s="19" t="str">
        <f t="shared" si="16"/>
        <v>EQUIVALENT (p=0.00004)</v>
      </c>
    </row>
    <row r="103" spans="1:20" ht="15" customHeight="1" x14ac:dyDescent="0.2">
      <c r="A103" s="14" t="s">
        <v>11</v>
      </c>
      <c r="B103" s="15" t="s">
        <v>76</v>
      </c>
      <c r="C103" s="16">
        <f>B91*(AVERAGE(I7:I16)+AVERAGE(I18:I27))/2</f>
        <v>1.5800000000000002E-3</v>
      </c>
      <c r="D103" s="26">
        <f>AVERAGE(I7:I16)</f>
        <v>1.5500000000000003E-2</v>
      </c>
      <c r="E103" s="27">
        <f>AVERAGE(I18:I27)</f>
        <v>1.61E-2</v>
      </c>
      <c r="F103" s="16">
        <f t="shared" si="10"/>
        <v>-5.9999999999999637E-4</v>
      </c>
      <c r="G103" s="16">
        <f>SQRT((STDEV(I7:I16)^2/10)+(STDEV(I18:I27)^2/10))</f>
        <v>5.0990195135927846E-4</v>
      </c>
      <c r="H103" s="19">
        <v>18</v>
      </c>
      <c r="I103" s="16">
        <f t="shared" si="11"/>
        <v>1.9219381243542113</v>
      </c>
      <c r="J103" s="28">
        <f t="shared" si="12"/>
        <v>3.5294417772747888E-2</v>
      </c>
      <c r="K103" s="16">
        <f t="shared" si="13"/>
        <v>-4.2753317460124052</v>
      </c>
      <c r="L103" s="28">
        <f t="shared" si="14"/>
        <v>2.2766865151976093E-4</v>
      </c>
      <c r="M103" s="29">
        <f t="shared" si="15"/>
        <v>3.5294417772747888E-2</v>
      </c>
      <c r="N103" s="30">
        <v>0.05</v>
      </c>
      <c r="O103" s="19" t="str">
        <f t="shared" si="16"/>
        <v>EQUIVALENT (p=0.03529)</v>
      </c>
    </row>
    <row r="104" spans="1:20" ht="15" customHeight="1" x14ac:dyDescent="0.2">
      <c r="A104" s="14" t="s">
        <v>12</v>
      </c>
      <c r="B104" s="15" t="s">
        <v>72</v>
      </c>
      <c r="C104" s="16">
        <f>B91*(AVERAGE(J7:J16)+AVERAGE(J18:J27))/2</f>
        <v>0.14904999999999999</v>
      </c>
      <c r="D104" s="26">
        <f>AVERAGE(J7:J16)</f>
        <v>1.4889999999999999</v>
      </c>
      <c r="E104" s="27">
        <f>AVERAGE(J18:J27)</f>
        <v>1.4919999999999998</v>
      </c>
      <c r="F104" s="16">
        <f t="shared" si="10"/>
        <v>-2.9999999999998916E-3</v>
      </c>
      <c r="G104" s="16">
        <f>SQRT((STDEV(J7:J16)^2/10)+(STDEV(J18:J27)^2/10))</f>
        <v>1.2845232578665142E-2</v>
      </c>
      <c r="H104" s="19">
        <v>18</v>
      </c>
      <c r="I104" s="16">
        <f t="shared" si="11"/>
        <v>11.369977079479039</v>
      </c>
      <c r="J104" s="28">
        <f t="shared" si="12"/>
        <v>5.9817574343374971E-10</v>
      </c>
      <c r="K104" s="16">
        <f t="shared" si="13"/>
        <v>-11.837076445975935</v>
      </c>
      <c r="L104" s="28">
        <f t="shared" si="14"/>
        <v>3.1433964705790257E-10</v>
      </c>
      <c r="M104" s="29">
        <f t="shared" si="15"/>
        <v>5.9817574343374971E-10</v>
      </c>
      <c r="N104" s="30">
        <v>0.05</v>
      </c>
      <c r="O104" s="19" t="str">
        <f t="shared" si="16"/>
        <v>EQUIVALENT (p=0.00000)</v>
      </c>
    </row>
    <row r="105" spans="1:20" ht="15" customHeight="1" x14ac:dyDescent="0.2">
      <c r="A105" s="14" t="s">
        <v>13</v>
      </c>
      <c r="B105" s="15" t="s">
        <v>77</v>
      </c>
      <c r="C105" s="16">
        <f>B91*(AVERAGE(K7:K16)+AVERAGE(K18:K27))/2</f>
        <v>1.7799999999999996E-2</v>
      </c>
      <c r="D105" s="26">
        <f>AVERAGE(K7:K16)</f>
        <v>0.17999999999999997</v>
      </c>
      <c r="E105" s="27">
        <f>AVERAGE(K18:K27)</f>
        <v>0.17599999999999996</v>
      </c>
      <c r="F105" s="16">
        <f t="shared" si="10"/>
        <v>4.0000000000000036E-3</v>
      </c>
      <c r="G105" s="16">
        <f>SQRT((STDEV(K7:K16)^2/10)+(STDEV(K18:K27)^2/10))</f>
        <v>6.6999170807472601E-3</v>
      </c>
      <c r="H105" s="19">
        <v>18</v>
      </c>
      <c r="I105" s="16">
        <f t="shared" si="11"/>
        <v>3.2537716119866644</v>
      </c>
      <c r="J105" s="28">
        <f t="shared" si="12"/>
        <v>2.2043116680881326E-3</v>
      </c>
      <c r="K105" s="16">
        <f t="shared" si="13"/>
        <v>-2.0597269837346763</v>
      </c>
      <c r="L105" s="28">
        <f t="shared" si="14"/>
        <v>2.7093477397567418E-2</v>
      </c>
      <c r="M105" s="29">
        <f t="shared" si="15"/>
        <v>2.7093477397567418E-2</v>
      </c>
      <c r="N105" s="30">
        <v>0.05</v>
      </c>
      <c r="O105" s="19" t="str">
        <f t="shared" si="16"/>
        <v>EQUIVALENT (p=0.02709)</v>
      </c>
    </row>
    <row r="106" spans="1:20" ht="15" customHeight="1" x14ac:dyDescent="0.2">
      <c r="A106" s="14" t="s">
        <v>14</v>
      </c>
      <c r="B106" s="15" t="s">
        <v>78</v>
      </c>
      <c r="C106" s="16">
        <f>B91*(AVERAGE(L7:L16)+AVERAGE(L18:L27))/2</f>
        <v>4.5250000000000005E-2</v>
      </c>
      <c r="D106" s="26">
        <f>AVERAGE(L7:L16)</f>
        <v>0.45300000000000001</v>
      </c>
      <c r="E106" s="27">
        <f>AVERAGE(L18:L27)</f>
        <v>0.45199999999999996</v>
      </c>
      <c r="F106" s="16">
        <f t="shared" si="10"/>
        <v>1.0000000000000564E-3</v>
      </c>
      <c r="G106" s="16">
        <f>SQRT((STDEV(L7:L16)^2/10)+(STDEV(L18:L27)^2/10))</f>
        <v>1.806469853978564E-2</v>
      </c>
      <c r="H106" s="19">
        <v>18</v>
      </c>
      <c r="I106" s="16">
        <f t="shared" si="11"/>
        <v>2.5602420044895404</v>
      </c>
      <c r="J106" s="28">
        <f t="shared" si="12"/>
        <v>9.8368427278943855E-3</v>
      </c>
      <c r="K106" s="16">
        <f t="shared" si="13"/>
        <v>-2.4495288367278243</v>
      </c>
      <c r="L106" s="28">
        <f t="shared" si="14"/>
        <v>1.2383779272356892E-2</v>
      </c>
      <c r="M106" s="29">
        <f t="shared" si="15"/>
        <v>1.2383779272356892E-2</v>
      </c>
      <c r="N106" s="30">
        <v>0.05</v>
      </c>
      <c r="O106" s="19" t="str">
        <f t="shared" si="16"/>
        <v>EQUIVALENT (p=0.01238)</v>
      </c>
    </row>
    <row r="107" spans="1:20" ht="15" customHeight="1" x14ac:dyDescent="0.2">
      <c r="A107" s="14" t="s">
        <v>15</v>
      </c>
      <c r="B107" s="15" t="s">
        <v>79</v>
      </c>
      <c r="C107" s="16">
        <f>B91*(AVERAGE(M7:M16)+AVERAGE(M18:M27))/2</f>
        <v>9.999999999999998E-4</v>
      </c>
      <c r="D107" s="26">
        <f>AVERAGE(M7:M16)</f>
        <v>9.9999999999999985E-3</v>
      </c>
      <c r="E107" s="27">
        <f>AVERAGE(M18:M27)</f>
        <v>9.9999999999999985E-3</v>
      </c>
      <c r="F107" s="16">
        <f t="shared" si="10"/>
        <v>0</v>
      </c>
      <c r="G107" s="16">
        <f>SQRT((STDEV(M7:M16)^2/10)+(STDEV(M18:M27)^2/10))</f>
        <v>8.177564888977995E-19</v>
      </c>
      <c r="H107" s="19">
        <v>18</v>
      </c>
      <c r="I107" s="16">
        <f>IF(G107=0,"—",(F107+C107)/G107)</f>
        <v>1222857921124948</v>
      </c>
      <c r="J107" s="28">
        <f>IF(ISNUMBER(I107),IF(I107&lt;0,1,TDIST(I107,H107,1)),"—")</f>
        <v>4.9195974043237606E-262</v>
      </c>
      <c r="K107" s="16">
        <f>IF(G107=0,"—",(F107-C107)/G107)</f>
        <v>-1222857921124948</v>
      </c>
      <c r="L107" s="28">
        <f>IF(ISNUMBER(K107),TDIST(ABS(K107),H107,1),"—")</f>
        <v>4.9195974043237606E-262</v>
      </c>
      <c r="M107" s="29">
        <f>IF(ISNUMBER(J107),MAX(J107,L107),"—")</f>
        <v>4.9195974043237606E-262</v>
      </c>
      <c r="N107" s="30">
        <v>0.05</v>
      </c>
      <c r="O107" s="19" t="str">
        <f t="shared" si="16"/>
        <v>EQUIVALENT (p=0.00000)</v>
      </c>
    </row>
    <row r="108" spans="1:20" ht="15" customHeight="1" x14ac:dyDescent="0.2">
      <c r="A108" s="14" t="s">
        <v>16</v>
      </c>
      <c r="B108" s="15" t="s">
        <v>79</v>
      </c>
      <c r="C108" s="16">
        <f>B91*(AVERAGE(N7:N16)+AVERAGE(N18:N27))/2</f>
        <v>6.0000000000000019E-3</v>
      </c>
      <c r="D108" s="26">
        <f>AVERAGE(N7:N16)</f>
        <v>6.0000000000000012E-2</v>
      </c>
      <c r="E108" s="27">
        <f>AVERAGE(N18:N27)</f>
        <v>6.0000000000000012E-2</v>
      </c>
      <c r="F108" s="16">
        <f t="shared" si="10"/>
        <v>0</v>
      </c>
      <c r="G108" s="16">
        <f>SQRT((STDEV(N7:N16)^2/10)+(STDEV(N18:N27)^2/10))</f>
        <v>6.542051911182396E-18</v>
      </c>
      <c r="H108" s="19">
        <v>18</v>
      </c>
      <c r="I108" s="16">
        <f>IF(G108=0,"—",(F108+C108)/G108)</f>
        <v>917143440843711.5</v>
      </c>
      <c r="J108" s="28">
        <f>IF(ISNUMBER(I108),IF(I108&lt;0,1,TDIST(I108,H108,1)),"—")</f>
        <v>8.726233355637297E-260</v>
      </c>
      <c r="K108" s="16">
        <f>IF(G108=0,"—",(F108-C108)/G108)</f>
        <v>-917143440843711.5</v>
      </c>
      <c r="L108" s="28">
        <f>IF(ISNUMBER(K108),TDIST(ABS(K108),H108,1),"—")</f>
        <v>8.726233355637297E-260</v>
      </c>
      <c r="M108" s="29">
        <f>IF(ISNUMBER(J108),MAX(J108,L108),"—")</f>
        <v>8.726233355637297E-260</v>
      </c>
      <c r="N108" s="30">
        <v>0.05</v>
      </c>
      <c r="O108" s="19" t="str">
        <f t="shared" si="16"/>
        <v>EQUIVALENT (p=0.00000)</v>
      </c>
    </row>
    <row r="109" spans="1:20" ht="15" customHeight="1" x14ac:dyDescent="0.2">
      <c r="A109" s="14" t="s">
        <v>17</v>
      </c>
      <c r="B109" s="15" t="s">
        <v>80</v>
      </c>
      <c r="C109" s="16">
        <f>B91*(AVERAGE(O7:O16)+AVERAGE(O18:O27))/2</f>
        <v>1.6785000000000005</v>
      </c>
      <c r="D109" s="26">
        <f>AVERAGE(O7:O16)</f>
        <v>16.910000000000004</v>
      </c>
      <c r="E109" s="27">
        <f>AVERAGE(O18:O27)</f>
        <v>16.66</v>
      </c>
      <c r="F109" s="16">
        <f t="shared" si="10"/>
        <v>0.25000000000000355</v>
      </c>
      <c r="G109" s="16">
        <f>SQRT((STDEV(O7:O16)^2/10)+(STDEV(O18:O27)^2/10))</f>
        <v>0.36511794137115644</v>
      </c>
      <c r="H109" s="19">
        <v>18</v>
      </c>
      <c r="I109" s="16">
        <f>(F109+C109)/G109</f>
        <v>5.2818549336626806</v>
      </c>
      <c r="J109" s="28">
        <f>IF(ISNUMBER(I109),IF(I109&lt;0,1,TDIST(I109,H109,1)),1)</f>
        <v>2.5324983525598885E-5</v>
      </c>
      <c r="K109" s="16">
        <f>(F109-C109)/G109</f>
        <v>-3.9124344167680101</v>
      </c>
      <c r="L109" s="28">
        <f>TDIST(ABS(K109),H109,1)</f>
        <v>5.1036893510852314E-4</v>
      </c>
      <c r="M109" s="29">
        <f>MAX(J109,L109)</f>
        <v>5.1036893510852314E-4</v>
      </c>
      <c r="N109" s="30">
        <v>0.05</v>
      </c>
      <c r="O109" s="19" t="str">
        <f t="shared" si="16"/>
        <v>EQUIVALENT (p=0.00051)</v>
      </c>
    </row>
    <row r="112" spans="1:20" ht="19.5" customHeight="1" x14ac:dyDescent="0.2">
      <c r="A112" s="31" t="s">
        <v>111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ht="48" customHeight="1" x14ac:dyDescent="0.2">
      <c r="A113" s="42" t="s">
        <v>112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</row>
    <row r="115" spans="1:20" ht="19.5" customHeight="1" x14ac:dyDescent="0.2">
      <c r="A115" s="4" t="s">
        <v>113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9.5" customHeight="1" x14ac:dyDescent="0.2">
      <c r="A116" s="13" t="s">
        <v>59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31.5" customHeight="1" x14ac:dyDescent="0.2">
      <c r="A117" s="5" t="s">
        <v>60</v>
      </c>
      <c r="B117" s="5" t="s">
        <v>61</v>
      </c>
      <c r="C117" s="5" t="s">
        <v>62</v>
      </c>
      <c r="D117" s="5" t="s">
        <v>63</v>
      </c>
      <c r="E117" s="5" t="s">
        <v>64</v>
      </c>
      <c r="F117" s="5" t="s">
        <v>65</v>
      </c>
      <c r="G117" s="5" t="s">
        <v>66</v>
      </c>
      <c r="H117" s="5" t="s">
        <v>67</v>
      </c>
      <c r="I117" s="5" t="s">
        <v>68</v>
      </c>
      <c r="J117" s="5" t="s">
        <v>69</v>
      </c>
      <c r="K117" s="5" t="s">
        <v>70</v>
      </c>
    </row>
    <row r="118" spans="1:20" ht="32.25" customHeight="1" x14ac:dyDescent="0.2">
      <c r="A118" s="32" t="s">
        <v>4</v>
      </c>
      <c r="B118" s="33" t="s">
        <v>71</v>
      </c>
      <c r="C118" s="34">
        <f>AVERAGE(B32:B38)</f>
        <v>49.171428571428578</v>
      </c>
      <c r="D118" s="34">
        <f>AVERAGE(B40:B44)</f>
        <v>49.06</v>
      </c>
      <c r="E118" s="34">
        <f t="shared" ref="E118:E131" si="17">ABS(C118-D118)</f>
        <v>0.11142857142857565</v>
      </c>
      <c r="F118" s="34">
        <f>STDEV(B32:B38)</f>
        <v>0.28702082220799185</v>
      </c>
      <c r="G118" s="34">
        <f>STDEV(B40:B44)</f>
        <v>0.60249481325568122</v>
      </c>
      <c r="H118" s="34">
        <f t="shared" ref="H118:H131" si="18">SQRT(((7-1)*F118^2+(5-1)*G118^2)/(7+5-2))</f>
        <v>0.44116728281749346</v>
      </c>
      <c r="I118" s="35">
        <f t="shared" ref="I118:I131" si="19">IF(H118=0,"N/A",E118/H118*100)</f>
        <v>25.257668863598067</v>
      </c>
      <c r="J118" s="36" t="str">
        <f t="shared" ref="J118:J131" si="20">IF(ISNUMBER(I118),IF(I118&lt;10,"PASS","FAIL"),"—")</f>
        <v>FAIL</v>
      </c>
      <c r="K118" s="37" t="str">
        <f t="shared" ref="K118:K131" si="21">IF(I118&lt;10,"Groups equivalent on this element",IF(I118&lt;30,"Marginal — review abs diff","High SMD — check abs diff and t-test"))</f>
        <v>Marginal — review abs diff</v>
      </c>
      <c r="L118" s="44"/>
      <c r="M118" s="44"/>
      <c r="N118" s="44"/>
      <c r="O118" s="44"/>
      <c r="P118" s="44"/>
      <c r="Q118" s="44"/>
      <c r="R118" s="44"/>
      <c r="S118" s="44"/>
      <c r="T118" s="44"/>
    </row>
    <row r="119" spans="1:20" ht="32.25" customHeight="1" x14ac:dyDescent="0.2">
      <c r="A119" s="32" t="s">
        <v>5</v>
      </c>
      <c r="B119" s="33" t="s">
        <v>72</v>
      </c>
      <c r="C119" s="34">
        <f>AVERAGE(C32:C38)</f>
        <v>18.185714285714283</v>
      </c>
      <c r="D119" s="34">
        <f>AVERAGE(C40:C44)</f>
        <v>17.82</v>
      </c>
      <c r="E119" s="34">
        <f t="shared" si="17"/>
        <v>0.36571428571428299</v>
      </c>
      <c r="F119" s="34">
        <f>STDEV(C32:C38)</f>
        <v>0.10293317295817775</v>
      </c>
      <c r="G119" s="34">
        <f>STDEV(C40:C44)</f>
        <v>0.26832815729997483</v>
      </c>
      <c r="H119" s="34">
        <f t="shared" si="18"/>
        <v>0.1875023809372641</v>
      </c>
      <c r="I119" s="35">
        <f t="shared" si="19"/>
        <v>195.04514229963104</v>
      </c>
      <c r="J119" s="36" t="str">
        <f t="shared" si="20"/>
        <v>FAIL</v>
      </c>
      <c r="K119" s="37" t="str">
        <f t="shared" si="21"/>
        <v>High SMD — check abs diff and t-test</v>
      </c>
      <c r="L119" s="44"/>
      <c r="M119" s="44"/>
      <c r="N119" s="44"/>
      <c r="O119" s="44"/>
      <c r="P119" s="44"/>
      <c r="Q119" s="44"/>
      <c r="R119" s="44"/>
      <c r="S119" s="44"/>
      <c r="T119" s="44"/>
    </row>
    <row r="120" spans="1:20" ht="32.25" customHeight="1" x14ac:dyDescent="0.2">
      <c r="A120" s="32" t="s">
        <v>6</v>
      </c>
      <c r="B120" s="33" t="s">
        <v>73</v>
      </c>
      <c r="C120" s="34">
        <f>AVERAGE(D32:D38)</f>
        <v>9.7928571428571427</v>
      </c>
      <c r="D120" s="34">
        <f>AVERAGE(D40:D44)</f>
        <v>9.5019999999999989</v>
      </c>
      <c r="E120" s="34">
        <f t="shared" si="17"/>
        <v>0.29085714285714381</v>
      </c>
      <c r="F120" s="34">
        <f>STDEV(D32:D38)</f>
        <v>0.12037639382568396</v>
      </c>
      <c r="G120" s="34">
        <f>STDEV(D40:D44)</f>
        <v>0.18005554698481221</v>
      </c>
      <c r="H120" s="34">
        <f t="shared" si="18"/>
        <v>0.147181132331171</v>
      </c>
      <c r="I120" s="35">
        <f t="shared" si="19"/>
        <v>197.61849786743633</v>
      </c>
      <c r="J120" s="36" t="str">
        <f t="shared" si="20"/>
        <v>FAIL</v>
      </c>
      <c r="K120" s="37" t="str">
        <f t="shared" si="21"/>
        <v>High SMD — check abs diff and t-test</v>
      </c>
      <c r="L120" s="44"/>
      <c r="M120" s="44"/>
      <c r="N120" s="44"/>
      <c r="O120" s="44"/>
      <c r="P120" s="44"/>
      <c r="Q120" s="44"/>
      <c r="R120" s="44"/>
      <c r="S120" s="44"/>
      <c r="T120" s="44"/>
    </row>
    <row r="121" spans="1:20" ht="32.25" customHeight="1" x14ac:dyDescent="0.2">
      <c r="A121" s="32" t="s">
        <v>7</v>
      </c>
      <c r="B121" s="33" t="s">
        <v>74</v>
      </c>
      <c r="C121" s="34">
        <f>AVERAGE(E32:E38)</f>
        <v>1.1914285714285715</v>
      </c>
      <c r="D121" s="34">
        <f>AVERAGE(E40:E44)</f>
        <v>1.3819999999999999</v>
      </c>
      <c r="E121" s="34">
        <f t="shared" si="17"/>
        <v>0.19057142857142839</v>
      </c>
      <c r="F121" s="34">
        <f>STDEV(E32:E38)</f>
        <v>9.0079330116768247E-2</v>
      </c>
      <c r="G121" s="34">
        <f>STDEV(E40:E44)</f>
        <v>0.13971399357258388</v>
      </c>
      <c r="H121" s="34">
        <f t="shared" si="18"/>
        <v>0.11259028123497797</v>
      </c>
      <c r="I121" s="35">
        <f t="shared" si="19"/>
        <v>169.2609934721651</v>
      </c>
      <c r="J121" s="36" t="str">
        <f t="shared" si="20"/>
        <v>FAIL</v>
      </c>
      <c r="K121" s="37" t="str">
        <f t="shared" si="21"/>
        <v>High SMD — check abs diff and t-test</v>
      </c>
      <c r="L121" s="44"/>
      <c r="M121" s="44"/>
      <c r="N121" s="44"/>
      <c r="O121" s="44"/>
      <c r="P121" s="44"/>
      <c r="Q121" s="44"/>
      <c r="R121" s="44"/>
      <c r="S121" s="44"/>
      <c r="T121" s="44"/>
    </row>
    <row r="122" spans="1:20" ht="32.25" customHeight="1" x14ac:dyDescent="0.2">
      <c r="A122" s="50" t="s">
        <v>8</v>
      </c>
      <c r="B122" s="51" t="s">
        <v>75</v>
      </c>
      <c r="C122" s="52">
        <f>AVERAGE(F32:F38)</f>
        <v>1.8014285714285714</v>
      </c>
      <c r="D122" s="52">
        <f>AVERAGE(F40:F44)</f>
        <v>1.8359999999999999</v>
      </c>
      <c r="E122" s="52">
        <f t="shared" si="17"/>
        <v>3.4571428571428475E-2</v>
      </c>
      <c r="F122" s="52">
        <f>STDEV(F32:F38)</f>
        <v>2.8535691936340282E-2</v>
      </c>
      <c r="G122" s="52">
        <f>STDEV(F40:F44)</f>
        <v>1.1401754250991389E-2</v>
      </c>
      <c r="H122" s="52">
        <f t="shared" si="18"/>
        <v>2.3250192011495939E-2</v>
      </c>
      <c r="I122" s="53">
        <f t="shared" si="19"/>
        <v>148.69308844561286</v>
      </c>
      <c r="J122" s="54" t="str">
        <f t="shared" si="20"/>
        <v>FAIL</v>
      </c>
      <c r="K122" s="55" t="str">
        <f t="shared" si="21"/>
        <v>High SMD — check abs diff and t-test</v>
      </c>
      <c r="L122" s="44"/>
      <c r="M122" s="44"/>
      <c r="N122" s="44"/>
      <c r="O122" s="44"/>
      <c r="P122" s="44"/>
      <c r="Q122" s="44"/>
      <c r="R122" s="44"/>
      <c r="S122" s="44"/>
      <c r="T122" s="44"/>
    </row>
    <row r="123" spans="1:20" ht="32.25" customHeight="1" x14ac:dyDescent="0.2">
      <c r="A123" s="32" t="s">
        <v>9</v>
      </c>
      <c r="B123" s="33" t="s">
        <v>74</v>
      </c>
      <c r="C123" s="34">
        <f>AVERAGE(G32:G38)</f>
        <v>0.96857142857142864</v>
      </c>
      <c r="D123" s="34">
        <f>AVERAGE(G40:G44)</f>
        <v>0.98599999999999999</v>
      </c>
      <c r="E123" s="34">
        <f t="shared" si="17"/>
        <v>1.7428571428571349E-2</v>
      </c>
      <c r="F123" s="34">
        <f>STDEV(G32:G38)</f>
        <v>2.1157009420498172E-2</v>
      </c>
      <c r="G123" s="34">
        <f>STDEV(G40:G44)</f>
        <v>4.9295030175464959E-2</v>
      </c>
      <c r="H123" s="34">
        <f t="shared" si="18"/>
        <v>3.5221746529259863E-2</v>
      </c>
      <c r="I123" s="35">
        <f t="shared" si="19"/>
        <v>49.482416819088911</v>
      </c>
      <c r="J123" s="36" t="str">
        <f t="shared" si="20"/>
        <v>FAIL</v>
      </c>
      <c r="K123" s="37" t="str">
        <f t="shared" si="21"/>
        <v>High SMD — check abs diff and t-test</v>
      </c>
      <c r="L123" s="44"/>
      <c r="M123" s="44"/>
      <c r="N123" s="44"/>
      <c r="O123" s="44"/>
      <c r="P123" s="44"/>
      <c r="Q123" s="44"/>
      <c r="R123" s="44"/>
      <c r="S123" s="44"/>
      <c r="T123" s="44"/>
    </row>
    <row r="124" spans="1:20" ht="32.25" customHeight="1" x14ac:dyDescent="0.2">
      <c r="A124" s="32" t="s">
        <v>10</v>
      </c>
      <c r="B124" s="33" t="s">
        <v>74</v>
      </c>
      <c r="C124" s="34">
        <f>AVERAGE(H32:H38)</f>
        <v>1.2157142857142857</v>
      </c>
      <c r="D124" s="34">
        <f>AVERAGE(H40:H44)</f>
        <v>1.224</v>
      </c>
      <c r="E124" s="34">
        <f t="shared" si="17"/>
        <v>8.2857142857142296E-3</v>
      </c>
      <c r="F124" s="34">
        <f>STDEV(H32:H38)</f>
        <v>3.8234863173611126E-2</v>
      </c>
      <c r="G124" s="34">
        <f>STDEV(H40:H44)</f>
        <v>1.5165750888103114E-2</v>
      </c>
      <c r="H124" s="34">
        <f t="shared" si="18"/>
        <v>3.1131059364288564E-2</v>
      </c>
      <c r="I124" s="35">
        <f t="shared" si="19"/>
        <v>26.615587310270072</v>
      </c>
      <c r="J124" s="36" t="str">
        <f t="shared" si="20"/>
        <v>FAIL</v>
      </c>
      <c r="K124" s="37" t="str">
        <f t="shared" si="21"/>
        <v>Marginal — review abs diff</v>
      </c>
      <c r="L124" s="44"/>
      <c r="M124" s="44"/>
      <c r="N124" s="44"/>
      <c r="O124" s="44"/>
      <c r="P124" s="44"/>
      <c r="Q124" s="44"/>
      <c r="R124" s="44"/>
      <c r="S124" s="44"/>
      <c r="T124" s="44"/>
    </row>
    <row r="125" spans="1:20" ht="32.25" customHeight="1" x14ac:dyDescent="0.2">
      <c r="A125" s="32" t="s">
        <v>11</v>
      </c>
      <c r="B125" s="33" t="s">
        <v>76</v>
      </c>
      <c r="C125" s="34">
        <f>AVERAGE(I32:I38)</f>
        <v>1.5857142857142858E-2</v>
      </c>
      <c r="D125" s="34">
        <f>AVERAGE(I40:I44)</f>
        <v>2.3399999999999997E-2</v>
      </c>
      <c r="E125" s="34">
        <f t="shared" si="17"/>
        <v>7.5428571428571393E-3</v>
      </c>
      <c r="F125" s="34">
        <f>STDEV(I32:I38)</f>
        <v>1.0690449676496972E-3</v>
      </c>
      <c r="G125" s="34">
        <f>STDEV(I40:I44)</f>
        <v>6.3482280992415646E-3</v>
      </c>
      <c r="H125" s="34">
        <f t="shared" si="18"/>
        <v>4.0994773185998173E-3</v>
      </c>
      <c r="I125" s="35">
        <f t="shared" si="19"/>
        <v>183.99558179366664</v>
      </c>
      <c r="J125" s="36" t="str">
        <f t="shared" si="20"/>
        <v>FAIL</v>
      </c>
      <c r="K125" s="37" t="str">
        <f t="shared" si="21"/>
        <v>High SMD — check abs diff and t-test</v>
      </c>
      <c r="L125" s="44"/>
      <c r="M125" s="44"/>
      <c r="N125" s="44"/>
      <c r="O125" s="44"/>
      <c r="P125" s="44"/>
      <c r="Q125" s="44"/>
      <c r="R125" s="44"/>
      <c r="S125" s="44"/>
      <c r="T125" s="44"/>
    </row>
    <row r="126" spans="1:20" ht="32.25" customHeight="1" x14ac:dyDescent="0.2">
      <c r="A126" s="32" t="s">
        <v>12</v>
      </c>
      <c r="B126" s="33" t="s">
        <v>72</v>
      </c>
      <c r="C126" s="34">
        <f>AVERAGE(J32:J38)</f>
        <v>1.5271428571428574</v>
      </c>
      <c r="D126" s="34">
        <f>AVERAGE(J40:J44)</f>
        <v>1.4780000000000002</v>
      </c>
      <c r="E126" s="34">
        <f t="shared" si="17"/>
        <v>4.9142857142857155E-2</v>
      </c>
      <c r="F126" s="34">
        <f>STDEV(J32:J38)</f>
        <v>1.4960264830861927E-2</v>
      </c>
      <c r="G126" s="34">
        <f>STDEV(J40:J44)</f>
        <v>4.4721359549995841E-3</v>
      </c>
      <c r="H126" s="34">
        <f t="shared" si="18"/>
        <v>1.1928357568656071E-2</v>
      </c>
      <c r="I126" s="35">
        <f t="shared" si="19"/>
        <v>411.98343409816073</v>
      </c>
      <c r="J126" s="36" t="str">
        <f t="shared" si="20"/>
        <v>FAIL</v>
      </c>
      <c r="K126" s="37" t="str">
        <f t="shared" si="21"/>
        <v>High SMD — check abs diff and t-test</v>
      </c>
      <c r="L126" s="44"/>
      <c r="M126" s="44"/>
      <c r="N126" s="44"/>
      <c r="O126" s="44"/>
      <c r="P126" s="44"/>
      <c r="Q126" s="44"/>
      <c r="R126" s="44"/>
      <c r="S126" s="44"/>
      <c r="T126" s="44"/>
    </row>
    <row r="127" spans="1:20" ht="32.25" customHeight="1" x14ac:dyDescent="0.2">
      <c r="A127" s="32" t="s">
        <v>13</v>
      </c>
      <c r="B127" s="33" t="s">
        <v>77</v>
      </c>
      <c r="C127" s="34">
        <f>AVERAGE(K32:K38)</f>
        <v>0.20285714285714285</v>
      </c>
      <c r="D127" s="34">
        <f>AVERAGE(K40:K44)</f>
        <v>0.17200000000000001</v>
      </c>
      <c r="E127" s="34">
        <f t="shared" si="17"/>
        <v>3.0857142857142833E-2</v>
      </c>
      <c r="F127" s="34">
        <f>STDEV(K32:K38)</f>
        <v>9.511897312113415E-3</v>
      </c>
      <c r="G127" s="34">
        <f>STDEV(K40:K44)</f>
        <v>1.0954451150103321E-2</v>
      </c>
      <c r="H127" s="34">
        <f t="shared" si="18"/>
        <v>1.0113640011673058E-2</v>
      </c>
      <c r="I127" s="35">
        <f t="shared" si="19"/>
        <v>305.10422381583521</v>
      </c>
      <c r="J127" s="36" t="str">
        <f t="shared" si="20"/>
        <v>FAIL</v>
      </c>
      <c r="K127" s="37" t="str">
        <f t="shared" si="21"/>
        <v>High SMD — check abs diff and t-test</v>
      </c>
      <c r="L127" s="44"/>
      <c r="M127" s="44"/>
      <c r="N127" s="44"/>
      <c r="O127" s="44"/>
      <c r="P127" s="44"/>
      <c r="Q127" s="44"/>
      <c r="R127" s="44"/>
      <c r="S127" s="44"/>
      <c r="T127" s="44"/>
    </row>
    <row r="128" spans="1:20" ht="32.25" customHeight="1" x14ac:dyDescent="0.2">
      <c r="A128" s="32" t="s">
        <v>14</v>
      </c>
      <c r="B128" s="33" t="s">
        <v>78</v>
      </c>
      <c r="C128" s="34">
        <f>AVERAGE(L32:L38)</f>
        <v>0.45</v>
      </c>
      <c r="D128" s="34">
        <f>AVERAGE(L40:L44)</f>
        <v>0.44800000000000006</v>
      </c>
      <c r="E128" s="34">
        <f t="shared" si="17"/>
        <v>1.9999999999999463E-3</v>
      </c>
      <c r="F128" s="34">
        <f>STDEV(L32:L38)</f>
        <v>2.7688746209726917E-2</v>
      </c>
      <c r="G128" s="34">
        <f>STDEV(L40:L44)</f>
        <v>2.1679483388678804E-2</v>
      </c>
      <c r="H128" s="34">
        <f t="shared" si="18"/>
        <v>2.5455844122715711E-2</v>
      </c>
      <c r="I128" s="35">
        <f t="shared" si="19"/>
        <v>7.8567420131836503</v>
      </c>
      <c r="J128" s="36" t="str">
        <f t="shared" si="20"/>
        <v>PASS</v>
      </c>
      <c r="K128" s="37" t="str">
        <f t="shared" si="21"/>
        <v>Groups equivalent on this element</v>
      </c>
      <c r="L128" s="44"/>
      <c r="M128" s="44"/>
      <c r="N128" s="44"/>
      <c r="O128" s="44"/>
      <c r="P128" s="44"/>
      <c r="Q128" s="44"/>
      <c r="R128" s="44"/>
      <c r="S128" s="44"/>
      <c r="T128" s="44"/>
    </row>
    <row r="129" spans="1:20" ht="32.25" customHeight="1" x14ac:dyDescent="0.2">
      <c r="A129" s="32" t="s">
        <v>15</v>
      </c>
      <c r="B129" s="33" t="s">
        <v>79</v>
      </c>
      <c r="C129" s="34">
        <f>AVERAGE(M32:M38)</f>
        <v>0.01</v>
      </c>
      <c r="D129" s="34">
        <f>AVERAGE(M40:M44)</f>
        <v>0.01</v>
      </c>
      <c r="E129" s="34">
        <f t="shared" si="17"/>
        <v>0</v>
      </c>
      <c r="F129" s="34">
        <f>STDEV(M32:M38)</f>
        <v>0</v>
      </c>
      <c r="G129" s="34">
        <f>STDEV(M40:M44)</f>
        <v>0</v>
      </c>
      <c r="H129" s="34">
        <f t="shared" si="18"/>
        <v>0</v>
      </c>
      <c r="I129" s="35" t="str">
        <f t="shared" si="19"/>
        <v>N/A</v>
      </c>
      <c r="J129" s="36" t="str">
        <f t="shared" si="20"/>
        <v>—</v>
      </c>
      <c r="K129" s="37" t="str">
        <f t="shared" si="21"/>
        <v>High SMD — check abs diff and t-test</v>
      </c>
      <c r="L129" s="44"/>
      <c r="M129" s="44"/>
      <c r="N129" s="44"/>
      <c r="O129" s="44"/>
      <c r="P129" s="44"/>
      <c r="Q129" s="44"/>
      <c r="R129" s="44"/>
      <c r="S129" s="44"/>
      <c r="T129" s="44"/>
    </row>
    <row r="130" spans="1:20" ht="32.25" customHeight="1" x14ac:dyDescent="0.2">
      <c r="A130" s="32" t="s">
        <v>16</v>
      </c>
      <c r="B130" s="33" t="s">
        <v>79</v>
      </c>
      <c r="C130" s="34">
        <f>AVERAGE(N32:N38)</f>
        <v>0.06</v>
      </c>
      <c r="D130" s="34">
        <f>AVERAGE(N40:N44)</f>
        <v>0.06</v>
      </c>
      <c r="E130" s="34">
        <f t="shared" si="17"/>
        <v>0</v>
      </c>
      <c r="F130" s="34">
        <f>STDEV(N32:N38)</f>
        <v>0</v>
      </c>
      <c r="G130" s="34">
        <f>STDEV(N40:N44)</f>
        <v>0</v>
      </c>
      <c r="H130" s="34">
        <f t="shared" si="18"/>
        <v>0</v>
      </c>
      <c r="I130" s="35" t="str">
        <f t="shared" si="19"/>
        <v>N/A</v>
      </c>
      <c r="J130" s="36" t="str">
        <f t="shared" si="20"/>
        <v>—</v>
      </c>
      <c r="K130" s="37" t="str">
        <f t="shared" si="21"/>
        <v>High SMD — check abs diff and t-test</v>
      </c>
      <c r="L130" s="44"/>
      <c r="M130" s="44"/>
      <c r="N130" s="44"/>
      <c r="O130" s="44"/>
      <c r="P130" s="44"/>
      <c r="Q130" s="44"/>
      <c r="R130" s="44"/>
      <c r="S130" s="44"/>
      <c r="T130" s="44"/>
    </row>
    <row r="131" spans="1:20" ht="32.25" customHeight="1" x14ac:dyDescent="0.2">
      <c r="A131" s="32" t="s">
        <v>17</v>
      </c>
      <c r="B131" s="33" t="s">
        <v>80</v>
      </c>
      <c r="C131" s="34">
        <f>AVERAGE(O32:O38)</f>
        <v>15.47857142857143</v>
      </c>
      <c r="D131" s="34">
        <f>AVERAGE(O40:O44)</f>
        <v>16.509999999999998</v>
      </c>
      <c r="E131" s="34">
        <f t="shared" si="17"/>
        <v>1.0314285714285685</v>
      </c>
      <c r="F131" s="34">
        <f>STDEV(O32:O38)</f>
        <v>0.22146697055682843</v>
      </c>
      <c r="G131" s="34">
        <f>STDEV(O40:O44)</f>
        <v>0.69856996786291947</v>
      </c>
      <c r="H131" s="34">
        <f t="shared" si="18"/>
        <v>0.47394996722077276</v>
      </c>
      <c r="I131" s="35">
        <f t="shared" si="19"/>
        <v>217.62393559742858</v>
      </c>
      <c r="J131" s="36" t="str">
        <f t="shared" si="20"/>
        <v>FAIL</v>
      </c>
      <c r="K131" s="37" t="str">
        <f t="shared" si="21"/>
        <v>High SMD — check abs diff and t-test</v>
      </c>
      <c r="L131" s="44"/>
      <c r="M131" s="44"/>
      <c r="N131" s="44"/>
      <c r="O131" s="44"/>
      <c r="P131" s="44"/>
      <c r="Q131" s="44"/>
      <c r="R131" s="44"/>
      <c r="S131" s="44"/>
      <c r="T131" s="44"/>
    </row>
    <row r="132" spans="1:20" ht="31.5" customHeight="1" x14ac:dyDescent="0.2">
      <c r="A132" s="45" t="s">
        <v>81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 spans="1:20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</row>
    <row r="134" spans="1:20" ht="19.5" customHeight="1" x14ac:dyDescent="0.2">
      <c r="A134" s="13" t="s">
        <v>82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36" customHeight="1" x14ac:dyDescent="0.2">
      <c r="A135" s="5" t="s">
        <v>60</v>
      </c>
      <c r="B135" s="5" t="s">
        <v>61</v>
      </c>
      <c r="C135" s="5" t="s">
        <v>62</v>
      </c>
      <c r="D135" s="5" t="s">
        <v>63</v>
      </c>
      <c r="E135" s="5" t="s">
        <v>83</v>
      </c>
      <c r="F135" s="5" t="s">
        <v>65</v>
      </c>
      <c r="G135" s="5" t="s">
        <v>66</v>
      </c>
      <c r="H135" s="5" t="s">
        <v>84</v>
      </c>
      <c r="I135" s="5" t="s">
        <v>114</v>
      </c>
      <c r="J135" s="5" t="s">
        <v>86</v>
      </c>
      <c r="K135" s="5" t="s">
        <v>87</v>
      </c>
      <c r="L135" s="5" t="s">
        <v>70</v>
      </c>
    </row>
    <row r="136" spans="1:20" ht="32.25" customHeight="1" x14ac:dyDescent="0.2">
      <c r="A136" s="32" t="s">
        <v>4</v>
      </c>
      <c r="B136" s="33" t="s">
        <v>71</v>
      </c>
      <c r="C136" s="34">
        <f>AVERAGE(B32:B38)</f>
        <v>49.171428571428578</v>
      </c>
      <c r="D136" s="34">
        <f>AVERAGE(B40:B44)</f>
        <v>49.06</v>
      </c>
      <c r="E136" s="34">
        <f t="shared" ref="E136:E149" si="22">C136-D136</f>
        <v>0.11142857142857565</v>
      </c>
      <c r="F136" s="34">
        <f>STDEV(B32:B38)</f>
        <v>0.28702082220799185</v>
      </c>
      <c r="G136" s="34">
        <f>STDEV(B40:B44)</f>
        <v>0.60249481325568122</v>
      </c>
      <c r="H136" s="34">
        <f t="shared" ref="H136:H149" si="23">IF(F136=0,"—",D136/SQRT(F136^2/7+G136^2/5))</f>
        <v>168.90279874542586</v>
      </c>
      <c r="I136" s="39">
        <v>10</v>
      </c>
      <c r="J136" s="40">
        <f t="shared" ref="J136:J149" si="24">IF(ISNUMBER(H136),TDIST(ABS(H136),I136,2),"—")</f>
        <v>1.300272890136381E-18</v>
      </c>
      <c r="K136" s="36" t="str">
        <f t="shared" ref="K136:K149" si="25">IF(ISNUMBER(J136),IF(J136&lt;0.05,"YES ✱","no"),FALSE())</f>
        <v>YES ✱</v>
      </c>
      <c r="L136" s="37" t="str">
        <f t="shared" ref="L136:L149" si="26">IF(ISNUMBER(J136),IF(J136&lt;0.05,IF(J136&lt;0.01,"Significant (p&lt;0.01) — investigate","Significant (p&lt;0.05) — note and explain"),"Not significant — groups equivalent on this element"),FALSE())</f>
        <v>Significant (p&lt;0.01) — investigate</v>
      </c>
    </row>
    <row r="137" spans="1:20" ht="32.25" customHeight="1" x14ac:dyDescent="0.2">
      <c r="A137" s="32" t="s">
        <v>5</v>
      </c>
      <c r="B137" s="33" t="s">
        <v>72</v>
      </c>
      <c r="C137" s="34">
        <f>AVERAGE(C32:C38)</f>
        <v>18.185714285714283</v>
      </c>
      <c r="D137" s="34">
        <f>AVERAGE(C40:C44)</f>
        <v>17.82</v>
      </c>
      <c r="E137" s="34">
        <f t="shared" si="22"/>
        <v>0.36571428571428299</v>
      </c>
      <c r="F137" s="34">
        <f>STDEV(C32:C38)</f>
        <v>0.10293317295817775</v>
      </c>
      <c r="G137" s="34">
        <f>STDEV(C40:C44)</f>
        <v>0.26832815729997483</v>
      </c>
      <c r="H137" s="34">
        <f t="shared" si="23"/>
        <v>141.26136765662395</v>
      </c>
      <c r="I137" s="39">
        <v>10</v>
      </c>
      <c r="J137" s="40">
        <f t="shared" si="24"/>
        <v>7.7601345344632392E-18</v>
      </c>
      <c r="K137" s="36" t="str">
        <f t="shared" si="25"/>
        <v>YES ✱</v>
      </c>
      <c r="L137" s="37" t="str">
        <f t="shared" si="26"/>
        <v>Significant (p&lt;0.01) — investigate</v>
      </c>
    </row>
    <row r="138" spans="1:20" ht="32.25" customHeight="1" x14ac:dyDescent="0.2">
      <c r="A138" s="32" t="s">
        <v>6</v>
      </c>
      <c r="B138" s="33" t="s">
        <v>73</v>
      </c>
      <c r="C138" s="34">
        <f>AVERAGE(D32:D38)</f>
        <v>9.7928571428571427</v>
      </c>
      <c r="D138" s="34">
        <f>AVERAGE(D40:D44)</f>
        <v>9.5019999999999989</v>
      </c>
      <c r="E138" s="34">
        <f t="shared" si="22"/>
        <v>0.29085714285714381</v>
      </c>
      <c r="F138" s="34">
        <f>STDEV(D32:D38)</f>
        <v>0.12037639382568396</v>
      </c>
      <c r="G138" s="34">
        <f>STDEV(D40:D44)</f>
        <v>0.18005554698481221</v>
      </c>
      <c r="H138" s="34">
        <f t="shared" si="23"/>
        <v>102.73742495597965</v>
      </c>
      <c r="I138" s="39">
        <v>10</v>
      </c>
      <c r="J138" s="40">
        <f t="shared" si="24"/>
        <v>1.8703756874605865E-16</v>
      </c>
      <c r="K138" s="36" t="str">
        <f t="shared" si="25"/>
        <v>YES ✱</v>
      </c>
      <c r="L138" s="37" t="str">
        <f t="shared" si="26"/>
        <v>Significant (p&lt;0.01) — investigate</v>
      </c>
    </row>
    <row r="139" spans="1:20" ht="32.25" customHeight="1" x14ac:dyDescent="0.2">
      <c r="A139" s="32" t="s">
        <v>7</v>
      </c>
      <c r="B139" s="33" t="s">
        <v>74</v>
      </c>
      <c r="C139" s="34">
        <f>AVERAGE(E32:E38)</f>
        <v>1.1914285714285715</v>
      </c>
      <c r="D139" s="34">
        <f>AVERAGE(E40:E44)</f>
        <v>1.3819999999999999</v>
      </c>
      <c r="E139" s="34">
        <f t="shared" si="22"/>
        <v>-0.19057142857142839</v>
      </c>
      <c r="F139" s="34">
        <f>STDEV(E32:E38)</f>
        <v>9.0079330116768247E-2</v>
      </c>
      <c r="G139" s="34">
        <f>STDEV(E40:E44)</f>
        <v>0.13971399357258388</v>
      </c>
      <c r="H139" s="34">
        <f t="shared" si="23"/>
        <v>19.422100716954187</v>
      </c>
      <c r="I139" s="39">
        <v>10</v>
      </c>
      <c r="J139" s="40">
        <f t="shared" si="24"/>
        <v>2.8579157009344261E-9</v>
      </c>
      <c r="K139" s="36" t="str">
        <f t="shared" si="25"/>
        <v>YES ✱</v>
      </c>
      <c r="L139" s="37" t="str">
        <f t="shared" si="26"/>
        <v>Significant (p&lt;0.01) — investigate</v>
      </c>
    </row>
    <row r="140" spans="1:20" ht="32.25" customHeight="1" x14ac:dyDescent="0.2">
      <c r="A140" s="38" t="s">
        <v>8</v>
      </c>
      <c r="B140" s="32" t="s">
        <v>75</v>
      </c>
      <c r="C140" s="34">
        <f>AVERAGE(F32:F38)</f>
        <v>1.8014285714285714</v>
      </c>
      <c r="D140" s="34">
        <f>AVERAGE(F40:F44)</f>
        <v>1.8359999999999999</v>
      </c>
      <c r="E140" s="34">
        <f t="shared" si="22"/>
        <v>-3.4571428571428475E-2</v>
      </c>
      <c r="F140" s="34">
        <f>STDEV(F32:F38)</f>
        <v>2.8535691936340282E-2</v>
      </c>
      <c r="G140" s="34">
        <f>STDEV(F40:F44)</f>
        <v>1.1401754250991389E-2</v>
      </c>
      <c r="H140" s="34">
        <f t="shared" si="23"/>
        <v>153.89685520461344</v>
      </c>
      <c r="I140" s="39">
        <v>10</v>
      </c>
      <c r="J140" s="40">
        <f t="shared" si="24"/>
        <v>3.2958153088689516E-18</v>
      </c>
      <c r="K140" s="36" t="str">
        <f t="shared" si="25"/>
        <v>YES ✱</v>
      </c>
      <c r="L140" s="37" t="str">
        <f t="shared" si="26"/>
        <v>Significant (p&lt;0.01) — investigate</v>
      </c>
    </row>
    <row r="141" spans="1:20" ht="32.25" customHeight="1" x14ac:dyDescent="0.2">
      <c r="A141" s="32" t="s">
        <v>9</v>
      </c>
      <c r="B141" s="33" t="s">
        <v>74</v>
      </c>
      <c r="C141" s="34">
        <f>AVERAGE(G32:G38)</f>
        <v>0.96857142857142864</v>
      </c>
      <c r="D141" s="34">
        <f>AVERAGE(G40:G44)</f>
        <v>0.98599999999999999</v>
      </c>
      <c r="E141" s="34">
        <f t="shared" si="22"/>
        <v>-1.7428571428571349E-2</v>
      </c>
      <c r="F141" s="34">
        <f>STDEV(G32:G38)</f>
        <v>2.1157009420498172E-2</v>
      </c>
      <c r="G141" s="34">
        <f>STDEV(G40:G44)</f>
        <v>4.9295030175464959E-2</v>
      </c>
      <c r="H141" s="34">
        <f t="shared" si="23"/>
        <v>42.045261478145676</v>
      </c>
      <c r="I141" s="39">
        <v>10</v>
      </c>
      <c r="J141" s="40">
        <f t="shared" si="24"/>
        <v>1.3889977183516279E-12</v>
      </c>
      <c r="K141" s="36" t="str">
        <f t="shared" si="25"/>
        <v>YES ✱</v>
      </c>
      <c r="L141" s="37" t="str">
        <f t="shared" si="26"/>
        <v>Significant (p&lt;0.01) — investigate</v>
      </c>
    </row>
    <row r="142" spans="1:20" ht="32.25" customHeight="1" x14ac:dyDescent="0.2">
      <c r="A142" s="32" t="s">
        <v>10</v>
      </c>
      <c r="B142" s="33" t="s">
        <v>74</v>
      </c>
      <c r="C142" s="34">
        <f>AVERAGE(H32:H38)</f>
        <v>1.2157142857142857</v>
      </c>
      <c r="D142" s="34">
        <f>AVERAGE(H40:H44)</f>
        <v>1.224</v>
      </c>
      <c r="E142" s="34">
        <f t="shared" si="22"/>
        <v>-8.2857142857142296E-3</v>
      </c>
      <c r="F142" s="34">
        <f>STDEV(H32:H38)</f>
        <v>3.8234863173611126E-2</v>
      </c>
      <c r="G142" s="34">
        <f>STDEV(H40:H44)</f>
        <v>1.5165750888103114E-2</v>
      </c>
      <c r="H142" s="34">
        <f t="shared" si="23"/>
        <v>76.67337941688767</v>
      </c>
      <c r="I142" s="39">
        <v>10</v>
      </c>
      <c r="J142" s="40">
        <f t="shared" si="24"/>
        <v>3.4775345490223997E-15</v>
      </c>
      <c r="K142" s="36" t="str">
        <f t="shared" si="25"/>
        <v>YES ✱</v>
      </c>
      <c r="L142" s="37" t="str">
        <f t="shared" si="26"/>
        <v>Significant (p&lt;0.01) — investigate</v>
      </c>
    </row>
    <row r="143" spans="1:20" ht="32.25" customHeight="1" x14ac:dyDescent="0.2">
      <c r="A143" s="32" t="s">
        <v>11</v>
      </c>
      <c r="B143" s="33" t="s">
        <v>76</v>
      </c>
      <c r="C143" s="34">
        <f>AVERAGE(I32:I38)</f>
        <v>1.5857142857142858E-2</v>
      </c>
      <c r="D143" s="34">
        <f>AVERAGE(I40:I44)</f>
        <v>2.3399999999999997E-2</v>
      </c>
      <c r="E143" s="34">
        <f t="shared" si="22"/>
        <v>-7.5428571428571393E-3</v>
      </c>
      <c r="F143" s="34">
        <f>STDEV(I32:I38)</f>
        <v>1.0690449676496972E-3</v>
      </c>
      <c r="G143" s="34">
        <f>STDEV(I40:I44)</f>
        <v>6.3482280992415646E-3</v>
      </c>
      <c r="H143" s="34">
        <f t="shared" si="23"/>
        <v>8.1600666568566567</v>
      </c>
      <c r="I143" s="39">
        <v>10</v>
      </c>
      <c r="J143" s="40">
        <f t="shared" si="24"/>
        <v>9.8950233153677581E-6</v>
      </c>
      <c r="K143" s="36" t="str">
        <f t="shared" si="25"/>
        <v>YES ✱</v>
      </c>
      <c r="L143" s="37" t="str">
        <f t="shared" si="26"/>
        <v>Significant (p&lt;0.01) — investigate</v>
      </c>
    </row>
    <row r="144" spans="1:20" ht="32.25" customHeight="1" x14ac:dyDescent="0.2">
      <c r="A144" s="32" t="s">
        <v>12</v>
      </c>
      <c r="B144" s="33" t="s">
        <v>72</v>
      </c>
      <c r="C144" s="34">
        <f>AVERAGE(J32:J38)</f>
        <v>1.5271428571428574</v>
      </c>
      <c r="D144" s="34">
        <f>AVERAGE(J40:J44)</f>
        <v>1.4780000000000002</v>
      </c>
      <c r="E144" s="34">
        <f t="shared" si="22"/>
        <v>4.9142857142857155E-2</v>
      </c>
      <c r="F144" s="34">
        <f>STDEV(J32:J38)</f>
        <v>1.4960264830861927E-2</v>
      </c>
      <c r="G144" s="34">
        <f>STDEV(J40:J44)</f>
        <v>4.4721359549995841E-3</v>
      </c>
      <c r="H144" s="34">
        <f t="shared" si="23"/>
        <v>246.42648264024845</v>
      </c>
      <c r="I144" s="39">
        <v>10</v>
      </c>
      <c r="J144" s="40">
        <f t="shared" si="24"/>
        <v>2.9778241137501136E-20</v>
      </c>
      <c r="K144" s="36" t="str">
        <f t="shared" si="25"/>
        <v>YES ✱</v>
      </c>
      <c r="L144" s="37" t="str">
        <f t="shared" si="26"/>
        <v>Significant (p&lt;0.01) — investigate</v>
      </c>
    </row>
    <row r="145" spans="1:20" ht="32.25" customHeight="1" x14ac:dyDescent="0.2">
      <c r="A145" s="32" t="s">
        <v>13</v>
      </c>
      <c r="B145" s="33" t="s">
        <v>77</v>
      </c>
      <c r="C145" s="34">
        <f>AVERAGE(K32:K38)</f>
        <v>0.20285714285714285</v>
      </c>
      <c r="D145" s="34">
        <f>AVERAGE(K40:K44)</f>
        <v>0.17200000000000001</v>
      </c>
      <c r="E145" s="34">
        <f t="shared" si="22"/>
        <v>3.0857142857142833E-2</v>
      </c>
      <c r="F145" s="34">
        <f>STDEV(K32:K38)</f>
        <v>9.511897312113415E-3</v>
      </c>
      <c r="G145" s="34">
        <f>STDEV(K40:K44)</f>
        <v>1.0954451150103321E-2</v>
      </c>
      <c r="H145" s="34">
        <f t="shared" si="23"/>
        <v>28.305263017985155</v>
      </c>
      <c r="I145" s="39">
        <v>10</v>
      </c>
      <c r="J145" s="40">
        <f t="shared" si="24"/>
        <v>7.0426485616944404E-11</v>
      </c>
      <c r="K145" s="36" t="str">
        <f t="shared" si="25"/>
        <v>YES ✱</v>
      </c>
      <c r="L145" s="37" t="str">
        <f t="shared" si="26"/>
        <v>Significant (p&lt;0.01) — investigate</v>
      </c>
    </row>
    <row r="146" spans="1:20" ht="32.25" customHeight="1" x14ac:dyDescent="0.2">
      <c r="A146" s="32" t="s">
        <v>14</v>
      </c>
      <c r="B146" s="33" t="s">
        <v>78</v>
      </c>
      <c r="C146" s="34">
        <f>AVERAGE(L32:L38)</f>
        <v>0.45</v>
      </c>
      <c r="D146" s="34">
        <f>AVERAGE(L40:L44)</f>
        <v>0.44800000000000006</v>
      </c>
      <c r="E146" s="34">
        <f t="shared" si="22"/>
        <v>1.9999999999999463E-3</v>
      </c>
      <c r="F146" s="34">
        <f>STDEV(L32:L38)</f>
        <v>2.7688746209726917E-2</v>
      </c>
      <c r="G146" s="34">
        <f>STDEV(L40:L44)</f>
        <v>2.1679483388678804E-2</v>
      </c>
      <c r="H146" s="34">
        <f t="shared" si="23"/>
        <v>31.402946727539312</v>
      </c>
      <c r="I146" s="39">
        <v>10</v>
      </c>
      <c r="J146" s="40">
        <f t="shared" si="24"/>
        <v>2.5194873608381839E-11</v>
      </c>
      <c r="K146" s="36" t="str">
        <f t="shared" si="25"/>
        <v>YES ✱</v>
      </c>
      <c r="L146" s="37" t="str">
        <f t="shared" si="26"/>
        <v>Significant (p&lt;0.01) — investigate</v>
      </c>
    </row>
    <row r="147" spans="1:20" ht="15" customHeight="1" x14ac:dyDescent="0.2">
      <c r="A147" s="32" t="s">
        <v>15</v>
      </c>
      <c r="B147" s="33" t="s">
        <v>79</v>
      </c>
      <c r="C147" s="34">
        <f>AVERAGE(M32:M38)</f>
        <v>0.01</v>
      </c>
      <c r="D147" s="34">
        <f>AVERAGE(M40:M44)</f>
        <v>0.01</v>
      </c>
      <c r="E147" s="34">
        <f t="shared" si="22"/>
        <v>0</v>
      </c>
      <c r="F147" s="34">
        <f>STDEV(M32:M38)</f>
        <v>0</v>
      </c>
      <c r="G147" s="34">
        <f>STDEV(M40:M44)</f>
        <v>0</v>
      </c>
      <c r="H147" s="34" t="str">
        <f t="shared" si="23"/>
        <v>—</v>
      </c>
      <c r="I147" s="39">
        <v>10</v>
      </c>
      <c r="J147" s="40" t="str">
        <f t="shared" si="24"/>
        <v>—</v>
      </c>
      <c r="K147" s="36" t="b">
        <f t="shared" si="25"/>
        <v>0</v>
      </c>
      <c r="L147" s="37" t="b">
        <f t="shared" si="26"/>
        <v>0</v>
      </c>
    </row>
    <row r="148" spans="1:20" ht="15" customHeight="1" x14ac:dyDescent="0.2">
      <c r="A148" s="32" t="s">
        <v>16</v>
      </c>
      <c r="B148" s="33" t="s">
        <v>79</v>
      </c>
      <c r="C148" s="34">
        <f>AVERAGE(N32:N38)</f>
        <v>0.06</v>
      </c>
      <c r="D148" s="34">
        <f>AVERAGE(N40:N44)</f>
        <v>0.06</v>
      </c>
      <c r="E148" s="34">
        <f t="shared" si="22"/>
        <v>0</v>
      </c>
      <c r="F148" s="34">
        <f>STDEV(N32:N38)</f>
        <v>0</v>
      </c>
      <c r="G148" s="34">
        <f>STDEV(N40:N44)</f>
        <v>0</v>
      </c>
      <c r="H148" s="34" t="str">
        <f t="shared" si="23"/>
        <v>—</v>
      </c>
      <c r="I148" s="39">
        <v>10</v>
      </c>
      <c r="J148" s="40" t="str">
        <f t="shared" si="24"/>
        <v>—</v>
      </c>
      <c r="K148" s="36" t="b">
        <f t="shared" si="25"/>
        <v>0</v>
      </c>
      <c r="L148" s="37" t="b">
        <f t="shared" si="26"/>
        <v>0</v>
      </c>
    </row>
    <row r="149" spans="1:20" ht="32.25" customHeight="1" x14ac:dyDescent="0.2">
      <c r="A149" s="32" t="s">
        <v>17</v>
      </c>
      <c r="B149" s="33" t="s">
        <v>80</v>
      </c>
      <c r="C149" s="34">
        <f>AVERAGE(O32:O38)</f>
        <v>15.47857142857143</v>
      </c>
      <c r="D149" s="34">
        <f>AVERAGE(O40:O44)</f>
        <v>16.509999999999998</v>
      </c>
      <c r="E149" s="34">
        <f t="shared" si="22"/>
        <v>-1.0314285714285685</v>
      </c>
      <c r="F149" s="34">
        <f>STDEV(O32:O38)</f>
        <v>0.22146697055682843</v>
      </c>
      <c r="G149" s="34">
        <f>STDEV(O40:O44)</f>
        <v>0.69856996786291947</v>
      </c>
      <c r="H149" s="34">
        <f t="shared" si="23"/>
        <v>51.0466338876195</v>
      </c>
      <c r="I149" s="39">
        <v>10</v>
      </c>
      <c r="J149" s="40">
        <f t="shared" si="24"/>
        <v>2.0128204049813743E-13</v>
      </c>
      <c r="K149" s="36" t="str">
        <f t="shared" si="25"/>
        <v>YES ✱</v>
      </c>
      <c r="L149" s="37" t="str">
        <f t="shared" si="26"/>
        <v>Significant (p&lt;0.01) — investigate</v>
      </c>
    </row>
    <row r="151" spans="1:20" ht="19.5" customHeight="1" x14ac:dyDescent="0.2">
      <c r="A151" s="56" t="s">
        <v>88</v>
      </c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</row>
    <row r="152" spans="1:20" ht="36" customHeight="1" x14ac:dyDescent="0.2">
      <c r="A152" s="20" t="s">
        <v>89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spans="1:20" ht="19.5" customHeight="1" x14ac:dyDescent="0.2">
      <c r="A153" s="13" t="s">
        <v>90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5" customHeight="1" x14ac:dyDescent="0.2">
      <c r="A154" s="21" t="s">
        <v>91</v>
      </c>
      <c r="B154" s="21" t="s">
        <v>92</v>
      </c>
      <c r="C154" s="22" t="s">
        <v>93</v>
      </c>
      <c r="D154" s="22"/>
      <c r="E154" s="22"/>
      <c r="F154" s="22"/>
      <c r="G154" s="22"/>
      <c r="H154" s="22"/>
    </row>
    <row r="155" spans="1:20" ht="19.5" customHeight="1" x14ac:dyDescent="0.2">
      <c r="A155" s="23" t="s">
        <v>94</v>
      </c>
      <c r="B155" s="24">
        <v>0.05</v>
      </c>
      <c r="C155" s="25" t="s">
        <v>95</v>
      </c>
      <c r="D155" s="25"/>
      <c r="E155" s="25"/>
      <c r="F155" s="25"/>
      <c r="G155" s="25"/>
      <c r="H155" s="25"/>
    </row>
    <row r="156" spans="1:20" ht="19.5" customHeight="1" x14ac:dyDescent="0.2">
      <c r="A156" s="23" t="s">
        <v>96</v>
      </c>
      <c r="B156" s="24">
        <v>0.1</v>
      </c>
      <c r="C156" s="25" t="s">
        <v>97</v>
      </c>
      <c r="D156" s="25"/>
      <c r="E156" s="25"/>
      <c r="F156" s="25"/>
      <c r="G156" s="25"/>
      <c r="H156" s="25"/>
    </row>
    <row r="157" spans="1:20" ht="19.5" customHeight="1" x14ac:dyDescent="0.2">
      <c r="A157" s="23" t="s">
        <v>98</v>
      </c>
      <c r="B157" s="24">
        <v>0.15</v>
      </c>
      <c r="C157" s="25" t="s">
        <v>99</v>
      </c>
      <c r="D157" s="25"/>
      <c r="E157" s="25"/>
      <c r="F157" s="25"/>
      <c r="G157" s="25"/>
      <c r="H157" s="25"/>
    </row>
    <row r="159" spans="1:20" ht="19.5" customHeight="1" x14ac:dyDescent="0.2">
      <c r="A159" s="13" t="s">
        <v>100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48" customHeight="1" x14ac:dyDescent="0.2">
      <c r="A160" s="5" t="s">
        <v>60</v>
      </c>
      <c r="B160" s="5" t="s">
        <v>61</v>
      </c>
      <c r="C160" s="5" t="s">
        <v>101</v>
      </c>
      <c r="D160" s="5" t="s">
        <v>62</v>
      </c>
      <c r="E160" s="5" t="s">
        <v>63</v>
      </c>
      <c r="F160" s="5" t="s">
        <v>102</v>
      </c>
      <c r="G160" s="5" t="s">
        <v>103</v>
      </c>
      <c r="H160" s="5" t="s">
        <v>114</v>
      </c>
      <c r="I160" s="5" t="s">
        <v>104</v>
      </c>
      <c r="J160" s="5" t="s">
        <v>105</v>
      </c>
      <c r="K160" s="5" t="s">
        <v>106</v>
      </c>
      <c r="L160" s="5" t="s">
        <v>107</v>
      </c>
      <c r="M160" s="5" t="s">
        <v>108</v>
      </c>
      <c r="N160" s="5" t="s">
        <v>109</v>
      </c>
      <c r="O160" s="5" t="s">
        <v>110</v>
      </c>
    </row>
    <row r="161" spans="1:15" ht="15" customHeight="1" x14ac:dyDescent="0.2">
      <c r="A161" s="32" t="s">
        <v>4</v>
      </c>
      <c r="B161" s="33" t="s">
        <v>71</v>
      </c>
      <c r="C161" s="34">
        <f>B156*(AVERAGE(B32:B38)+AVERAGE(B40:B44))/2</f>
        <v>4.9115714285714294</v>
      </c>
      <c r="D161" s="26">
        <f>AVERAGE(B32:B38)</f>
        <v>49.171428571428578</v>
      </c>
      <c r="E161" s="27">
        <f>AVERAGE(B40:B44)</f>
        <v>49.06</v>
      </c>
      <c r="F161" s="34">
        <f t="shared" ref="F161:F174" si="27">D161-E161</f>
        <v>0.11142857142857565</v>
      </c>
      <c r="G161" s="34">
        <f>SQRT((STDEV(B32:B38)^2/7)+(STDEV(B40:B44)^2/5))</f>
        <v>0.29046291929090146</v>
      </c>
      <c r="H161" s="39">
        <v>10</v>
      </c>
      <c r="I161" s="34">
        <f t="shared" ref="I161:I171" si="28">(F161+C161)/G161</f>
        <v>17.293085163030472</v>
      </c>
      <c r="J161" s="46">
        <f t="shared" ref="J161:J171" si="29">IF(ISNUMBER(I161),IF(I161&lt;0,1,TDIST(I161,H161,1)),1)</f>
        <v>4.4244616275372433E-9</v>
      </c>
      <c r="K161" s="34">
        <f t="shared" ref="K161:K171" si="30">(F161-C161)/G161</f>
        <v>-16.52583699448212</v>
      </c>
      <c r="L161" s="46">
        <f t="shared" ref="L161:L171" si="31">TDIST(ABS(K161),H161,1)</f>
        <v>6.8681237746046548E-9</v>
      </c>
      <c r="M161" s="47">
        <f t="shared" ref="M161:M171" si="32">MAX(J161,L161)</f>
        <v>6.8681237746046548E-9</v>
      </c>
      <c r="N161" s="30">
        <v>0.05</v>
      </c>
      <c r="O161" s="39" t="str">
        <f t="shared" ref="O161:O174" si="33">IF(M161&lt;N161,"EQUIVALENT (p=" &amp; TEXT(M161,"0.00000") &amp; ")","Not demonstrated (p=" &amp; TEXT(M161,"0.00000") &amp; ")")</f>
        <v>EQUIVALENT (p=0.00000)</v>
      </c>
    </row>
    <row r="162" spans="1:15" ht="15" customHeight="1" x14ac:dyDescent="0.2">
      <c r="A162" s="32" t="s">
        <v>5</v>
      </c>
      <c r="B162" s="33" t="s">
        <v>72</v>
      </c>
      <c r="C162" s="34">
        <f>B156*(AVERAGE(C32:C38)+AVERAGE(C40:C44))/2</f>
        <v>1.8002857142857143</v>
      </c>
      <c r="D162" s="26">
        <f>AVERAGE(C32:C38)</f>
        <v>18.185714285714283</v>
      </c>
      <c r="E162" s="27">
        <f>AVERAGE(C40:C44)</f>
        <v>17.82</v>
      </c>
      <c r="F162" s="34">
        <f t="shared" si="27"/>
        <v>0.36571428571428299</v>
      </c>
      <c r="G162" s="34">
        <f>SQRT((STDEV(C32:C38)^2/7)+(STDEV(C40:C44)^2/5))</f>
        <v>0.12614913968068464</v>
      </c>
      <c r="H162" s="39">
        <v>10</v>
      </c>
      <c r="I162" s="34">
        <f t="shared" si="28"/>
        <v>17.170152769037433</v>
      </c>
      <c r="J162" s="46">
        <f t="shared" si="29"/>
        <v>4.7415236272738478E-9</v>
      </c>
      <c r="K162" s="34">
        <f t="shared" si="30"/>
        <v>-11.372027048323073</v>
      </c>
      <c r="L162" s="46">
        <f t="shared" si="31"/>
        <v>2.4175086873054181E-7</v>
      </c>
      <c r="M162" s="47">
        <f t="shared" si="32"/>
        <v>2.4175086873054181E-7</v>
      </c>
      <c r="N162" s="30">
        <v>0.05</v>
      </c>
      <c r="O162" s="39" t="str">
        <f t="shared" si="33"/>
        <v>EQUIVALENT (p=0.00000)</v>
      </c>
    </row>
    <row r="163" spans="1:15" ht="15" customHeight="1" x14ac:dyDescent="0.2">
      <c r="A163" s="32" t="s">
        <v>6</v>
      </c>
      <c r="B163" s="33" t="s">
        <v>73</v>
      </c>
      <c r="C163" s="34">
        <f>B156*(AVERAGE(D32:D38)+AVERAGE(D40:D44))/2</f>
        <v>0.96474285714285701</v>
      </c>
      <c r="D163" s="26">
        <f>AVERAGE(D32:D38)</f>
        <v>9.7928571428571427</v>
      </c>
      <c r="E163" s="27">
        <f>AVERAGE(D40:D44)</f>
        <v>9.5019999999999989</v>
      </c>
      <c r="F163" s="34">
        <f t="shared" si="27"/>
        <v>0.29085714285714381</v>
      </c>
      <c r="G163" s="34">
        <f>SQRT((STDEV(D32:D38)^2/7)+(STDEV(D40:D44)^2/5))</f>
        <v>9.2488204800454776E-2</v>
      </c>
      <c r="H163" s="39">
        <v>10</v>
      </c>
      <c r="I163" s="34">
        <f t="shared" si="28"/>
        <v>13.575785179407296</v>
      </c>
      <c r="J163" s="46">
        <f t="shared" si="29"/>
        <v>4.5416419530739475E-8</v>
      </c>
      <c r="K163" s="34">
        <f t="shared" si="30"/>
        <v>-7.2861800673895187</v>
      </c>
      <c r="L163" s="46">
        <f t="shared" si="31"/>
        <v>1.3218743129845082E-5</v>
      </c>
      <c r="M163" s="47">
        <f t="shared" si="32"/>
        <v>1.3218743129845082E-5</v>
      </c>
      <c r="N163" s="30">
        <v>0.05</v>
      </c>
      <c r="O163" s="39" t="str">
        <f t="shared" si="33"/>
        <v>EQUIVALENT (p=0.00001)</v>
      </c>
    </row>
    <row r="164" spans="1:15" ht="15" customHeight="1" x14ac:dyDescent="0.2">
      <c r="A164" s="32" t="s">
        <v>7</v>
      </c>
      <c r="B164" s="33" t="s">
        <v>74</v>
      </c>
      <c r="C164" s="34">
        <f>B156*(AVERAGE(E32:E38)+AVERAGE(E40:E44))/2</f>
        <v>0.12867142857142858</v>
      </c>
      <c r="D164" s="26">
        <f>AVERAGE(E32:E38)</f>
        <v>1.1914285714285715</v>
      </c>
      <c r="E164" s="27">
        <f>AVERAGE(E40:E44)</f>
        <v>1.3819999999999999</v>
      </c>
      <c r="F164" s="34">
        <f t="shared" si="27"/>
        <v>-0.19057142857142839</v>
      </c>
      <c r="G164" s="34">
        <f>SQRT((STDEV(E32:E38)^2/7)+(STDEV(E40:E44)^2/5))</f>
        <v>7.1156051559016317E-2</v>
      </c>
      <c r="H164" s="39">
        <v>10</v>
      </c>
      <c r="I164" s="34">
        <f t="shared" si="28"/>
        <v>-0.8699189829084375</v>
      </c>
      <c r="J164" s="46">
        <f t="shared" si="29"/>
        <v>1</v>
      </c>
      <c r="K164" s="34">
        <f t="shared" si="30"/>
        <v>-4.4865173115750983</v>
      </c>
      <c r="L164" s="46">
        <f t="shared" si="31"/>
        <v>5.8359343836301557E-4</v>
      </c>
      <c r="M164" s="47">
        <f t="shared" si="32"/>
        <v>1</v>
      </c>
      <c r="N164" s="30">
        <v>0.05</v>
      </c>
      <c r="O164" s="39" t="str">
        <f t="shared" si="33"/>
        <v>Not demonstrated (p=1.00000)</v>
      </c>
    </row>
    <row r="165" spans="1:15" ht="15" customHeight="1" x14ac:dyDescent="0.2">
      <c r="A165" s="38" t="s">
        <v>8</v>
      </c>
      <c r="B165" s="32" t="s">
        <v>75</v>
      </c>
      <c r="C165" s="34">
        <f>B156*(AVERAGE(F32:F38)+AVERAGE(F40:F44))/2</f>
        <v>0.18187142857142857</v>
      </c>
      <c r="D165" s="26">
        <f>AVERAGE(F32:F38)</f>
        <v>1.8014285714285714</v>
      </c>
      <c r="E165" s="27">
        <f>AVERAGE(F40:F44)</f>
        <v>1.8359999999999999</v>
      </c>
      <c r="F165" s="34">
        <f t="shared" si="27"/>
        <v>-3.4571428571428475E-2</v>
      </c>
      <c r="G165" s="34">
        <f>SQRT((STDEV(F32:F38)^2/7)+(STDEV(F40:F44)^2/5))</f>
        <v>1.193006834063599E-2</v>
      </c>
      <c r="H165" s="39">
        <v>10</v>
      </c>
      <c r="I165" s="34">
        <f t="shared" si="28"/>
        <v>12.346953579324389</v>
      </c>
      <c r="J165" s="46">
        <f t="shared" si="29"/>
        <v>1.1167535399493289E-7</v>
      </c>
      <c r="K165" s="34">
        <f t="shared" si="30"/>
        <v>-18.142633467204305</v>
      </c>
      <c r="L165" s="46">
        <f t="shared" si="31"/>
        <v>2.7764099411049467E-9</v>
      </c>
      <c r="M165" s="47">
        <f t="shared" si="32"/>
        <v>1.1167535399493289E-7</v>
      </c>
      <c r="N165" s="30">
        <v>0.05</v>
      </c>
      <c r="O165" s="36" t="str">
        <f t="shared" si="33"/>
        <v>EQUIVALENT (p=0.00000)</v>
      </c>
    </row>
    <row r="166" spans="1:15" ht="15" customHeight="1" x14ac:dyDescent="0.2">
      <c r="A166" s="32" t="s">
        <v>9</v>
      </c>
      <c r="B166" s="33" t="s">
        <v>74</v>
      </c>
      <c r="C166" s="34">
        <f>B156*(AVERAGE(G32:G38)+AVERAGE(G40:G44))/2</f>
        <v>9.7728571428571442E-2</v>
      </c>
      <c r="D166" s="26">
        <f>AVERAGE(G32:G38)</f>
        <v>0.96857142857142864</v>
      </c>
      <c r="E166" s="27">
        <f>AVERAGE(G40:G44)</f>
        <v>0.98599999999999999</v>
      </c>
      <c r="F166" s="34">
        <f t="shared" si="27"/>
        <v>-1.7428571428571349E-2</v>
      </c>
      <c r="G166" s="34">
        <f>SQRT((STDEV(G32:G38)^2/7)+(STDEV(G40:G44)^2/5))</f>
        <v>2.3450918494406413E-2</v>
      </c>
      <c r="H166" s="39">
        <v>10</v>
      </c>
      <c r="I166" s="34">
        <f t="shared" si="28"/>
        <v>3.4241729175406714</v>
      </c>
      <c r="J166" s="46">
        <f t="shared" si="29"/>
        <v>3.2508697829460769E-3</v>
      </c>
      <c r="K166" s="34">
        <f t="shared" si="30"/>
        <v>-4.9105600228242849</v>
      </c>
      <c r="L166" s="46">
        <f t="shared" si="31"/>
        <v>3.0670200259487934E-4</v>
      </c>
      <c r="M166" s="47">
        <f t="shared" si="32"/>
        <v>3.2508697829460769E-3</v>
      </c>
      <c r="N166" s="30">
        <v>0.05</v>
      </c>
      <c r="O166" s="39" t="str">
        <f t="shared" si="33"/>
        <v>EQUIVALENT (p=0.00325)</v>
      </c>
    </row>
    <row r="167" spans="1:15" ht="15" customHeight="1" x14ac:dyDescent="0.2">
      <c r="A167" s="32" t="s">
        <v>10</v>
      </c>
      <c r="B167" s="33" t="s">
        <v>74</v>
      </c>
      <c r="C167" s="34">
        <f>B156*(AVERAGE(H32:H38)+AVERAGE(H40:H44))/2</f>
        <v>0.12198571428571428</v>
      </c>
      <c r="D167" s="26">
        <f>AVERAGE(H32:H38)</f>
        <v>1.2157142857142857</v>
      </c>
      <c r="E167" s="27">
        <f>AVERAGE(H40:H44)</f>
        <v>1.224</v>
      </c>
      <c r="F167" s="34">
        <f t="shared" si="27"/>
        <v>-8.2857142857142296E-3</v>
      </c>
      <c r="G167" s="34">
        <f>SQRT((STDEV(H32:H38)^2/7)+(STDEV(H40:H44)^2/5))</f>
        <v>1.5963819637385232E-2</v>
      </c>
      <c r="H167" s="39">
        <v>10</v>
      </c>
      <c r="I167" s="34">
        <f t="shared" si="28"/>
        <v>7.1223555879903033</v>
      </c>
      <c r="J167" s="46">
        <f t="shared" si="29"/>
        <v>1.6043285494812756E-5</v>
      </c>
      <c r="K167" s="34">
        <f t="shared" si="30"/>
        <v>-8.1604172140826137</v>
      </c>
      <c r="L167" s="46">
        <f t="shared" si="31"/>
        <v>4.9456414182248964E-6</v>
      </c>
      <c r="M167" s="47">
        <f t="shared" si="32"/>
        <v>1.6043285494812756E-5</v>
      </c>
      <c r="N167" s="30">
        <v>0.05</v>
      </c>
      <c r="O167" s="39" t="str">
        <f t="shared" si="33"/>
        <v>EQUIVALENT (p=0.00002)</v>
      </c>
    </row>
    <row r="168" spans="1:15" ht="15" customHeight="1" x14ac:dyDescent="0.2">
      <c r="A168" s="32" t="s">
        <v>11</v>
      </c>
      <c r="B168" s="33" t="s">
        <v>76</v>
      </c>
      <c r="C168" s="34">
        <f>B156*(AVERAGE(I32:I38)+AVERAGE(I40:I44))/2</f>
        <v>1.9628571428571425E-3</v>
      </c>
      <c r="D168" s="26">
        <f>AVERAGE(I32:I38)</f>
        <v>1.5857142857142858E-2</v>
      </c>
      <c r="E168" s="27">
        <f>AVERAGE(I40:I44)</f>
        <v>2.3399999999999997E-2</v>
      </c>
      <c r="F168" s="34">
        <f t="shared" si="27"/>
        <v>-7.5428571428571393E-3</v>
      </c>
      <c r="G168" s="34">
        <f>SQRT((STDEV(I32:I38)^2/7)+(STDEV(I40:I44)^2/5))</f>
        <v>2.8676236339733431E-3</v>
      </c>
      <c r="H168" s="39">
        <v>10</v>
      </c>
      <c r="I168" s="34">
        <f t="shared" si="28"/>
        <v>-1.9458620489427403</v>
      </c>
      <c r="J168" s="46">
        <f t="shared" si="29"/>
        <v>1</v>
      </c>
      <c r="K168" s="34">
        <f t="shared" si="30"/>
        <v>-3.3148402646351762</v>
      </c>
      <c r="L168" s="46">
        <f t="shared" si="31"/>
        <v>3.9076057227722758E-3</v>
      </c>
      <c r="M168" s="47">
        <f t="shared" si="32"/>
        <v>1</v>
      </c>
      <c r="N168" s="30">
        <v>0.05</v>
      </c>
      <c r="O168" s="39" t="str">
        <f t="shared" si="33"/>
        <v>Not demonstrated (p=1.00000)</v>
      </c>
    </row>
    <row r="169" spans="1:15" ht="15" customHeight="1" x14ac:dyDescent="0.2">
      <c r="A169" s="32" t="s">
        <v>12</v>
      </c>
      <c r="B169" s="33" t="s">
        <v>72</v>
      </c>
      <c r="C169" s="34">
        <f>B156*(AVERAGE(J32:J38)+AVERAGE(J40:J44))/2</f>
        <v>0.15025714285714287</v>
      </c>
      <c r="D169" s="26">
        <f>AVERAGE(J32:J38)</f>
        <v>1.5271428571428574</v>
      </c>
      <c r="E169" s="27">
        <f>AVERAGE(J40:J44)</f>
        <v>1.4780000000000002</v>
      </c>
      <c r="F169" s="34">
        <f t="shared" si="27"/>
        <v>4.9142857142857155E-2</v>
      </c>
      <c r="G169" s="34">
        <f>SQRT((STDEV(J32:J38)^2/7)+(STDEV(J40:J44)^2/5))</f>
        <v>5.9977319976509732E-3</v>
      </c>
      <c r="H169" s="39">
        <v>10</v>
      </c>
      <c r="I169" s="34">
        <f t="shared" si="28"/>
        <v>33.245900296661397</v>
      </c>
      <c r="J169" s="46">
        <f t="shared" si="29"/>
        <v>7.1574879559865566E-12</v>
      </c>
      <c r="K169" s="34">
        <f t="shared" si="30"/>
        <v>-16.858753567829869</v>
      </c>
      <c r="L169" s="46">
        <f t="shared" si="31"/>
        <v>5.6620106986059895E-9</v>
      </c>
      <c r="M169" s="47">
        <f t="shared" si="32"/>
        <v>5.6620106986059895E-9</v>
      </c>
      <c r="N169" s="30">
        <v>0.05</v>
      </c>
      <c r="O169" s="39" t="str">
        <f t="shared" si="33"/>
        <v>EQUIVALENT (p=0.00000)</v>
      </c>
    </row>
    <row r="170" spans="1:15" ht="15" customHeight="1" x14ac:dyDescent="0.2">
      <c r="A170" s="32" t="s">
        <v>13</v>
      </c>
      <c r="B170" s="33" t="s">
        <v>77</v>
      </c>
      <c r="C170" s="34">
        <f>B156*(AVERAGE(K32:K38)+AVERAGE(K40:K44))/2</f>
        <v>1.8742857142857144E-2</v>
      </c>
      <c r="D170" s="26">
        <f>AVERAGE(K32:K38)</f>
        <v>0.20285714285714285</v>
      </c>
      <c r="E170" s="27">
        <f>AVERAGE(K40:K44)</f>
        <v>0.17200000000000001</v>
      </c>
      <c r="F170" s="34">
        <f t="shared" si="27"/>
        <v>3.0857142857142833E-2</v>
      </c>
      <c r="G170" s="34">
        <f>SQRT((STDEV(K32:K38)^2/7)+(STDEV(K40:K44)^2/5))</f>
        <v>6.0766084346473397E-3</v>
      </c>
      <c r="H170" s="39">
        <v>10</v>
      </c>
      <c r="I170" s="34">
        <f t="shared" si="28"/>
        <v>8.162447940070134</v>
      </c>
      <c r="J170" s="46">
        <f t="shared" si="29"/>
        <v>4.934822502644661E-6</v>
      </c>
      <c r="K170" s="34">
        <f t="shared" si="30"/>
        <v>1.993593275685329</v>
      </c>
      <c r="L170" s="46">
        <f t="shared" si="31"/>
        <v>3.7087739159366577E-2</v>
      </c>
      <c r="M170" s="47">
        <f t="shared" si="32"/>
        <v>3.7087739159366577E-2</v>
      </c>
      <c r="N170" s="30">
        <v>0.05</v>
      </c>
      <c r="O170" s="39" t="str">
        <f t="shared" si="33"/>
        <v>EQUIVALENT (p=0.03709)</v>
      </c>
    </row>
    <row r="171" spans="1:15" ht="15" customHeight="1" x14ac:dyDescent="0.2">
      <c r="A171" s="32" t="s">
        <v>14</v>
      </c>
      <c r="B171" s="33" t="s">
        <v>78</v>
      </c>
      <c r="C171" s="34">
        <f>B156*(AVERAGE(L32:L38)+AVERAGE(L40:L44))/2</f>
        <v>4.4900000000000009E-2</v>
      </c>
      <c r="D171" s="26">
        <f>AVERAGE(L32:L38)</f>
        <v>0.45</v>
      </c>
      <c r="E171" s="27">
        <f>AVERAGE(L40:L44)</f>
        <v>0.44800000000000006</v>
      </c>
      <c r="F171" s="34">
        <f t="shared" si="27"/>
        <v>1.9999999999999463E-3</v>
      </c>
      <c r="G171" s="34">
        <f>SQRT((STDEV(L32:L38)^2/7)+(STDEV(L40:L44)^2/5))</f>
        <v>1.426617711665636E-2</v>
      </c>
      <c r="H171" s="39">
        <v>10</v>
      </c>
      <c r="I171" s="34">
        <f t="shared" si="28"/>
        <v>3.2874959855392683</v>
      </c>
      <c r="J171" s="46">
        <f t="shared" si="29"/>
        <v>4.0922922743272319E-3</v>
      </c>
      <c r="K171" s="34">
        <f t="shared" si="30"/>
        <v>-3.0071125326148178</v>
      </c>
      <c r="L171" s="46">
        <f t="shared" si="31"/>
        <v>6.591239542294158E-3</v>
      </c>
      <c r="M171" s="47">
        <f t="shared" si="32"/>
        <v>6.591239542294158E-3</v>
      </c>
      <c r="N171" s="30">
        <v>0.05</v>
      </c>
      <c r="O171" s="39" t="str">
        <f t="shared" si="33"/>
        <v>EQUIVALENT (p=0.00659)</v>
      </c>
    </row>
    <row r="172" spans="1:15" ht="15" customHeight="1" x14ac:dyDescent="0.2">
      <c r="A172" s="32" t="s">
        <v>15</v>
      </c>
      <c r="B172" s="33" t="s">
        <v>79</v>
      </c>
      <c r="C172" s="34">
        <f>B156*(AVERAGE(M32:M38)+AVERAGE(M40:M44))/2</f>
        <v>1E-3</v>
      </c>
      <c r="D172" s="26">
        <f>AVERAGE(M32:M38)</f>
        <v>0.01</v>
      </c>
      <c r="E172" s="27">
        <f>AVERAGE(M40:M44)</f>
        <v>0.01</v>
      </c>
      <c r="F172" s="34">
        <f t="shared" si="27"/>
        <v>0</v>
      </c>
      <c r="G172" s="34">
        <f>SQRT((STDEV(M32:M38)^2/7)+(STDEV(M40:M44)^2/5))</f>
        <v>0</v>
      </c>
      <c r="H172" s="39">
        <v>10</v>
      </c>
      <c r="I172" s="34" t="str">
        <f>IF(G172=0,"—",(F172+C172)/G172)</f>
        <v>—</v>
      </c>
      <c r="J172" s="46" t="str">
        <f>IF(ISNUMBER(I172),IF(I172&lt;0,1,TDIST(I172,H172,1)),"—")</f>
        <v>—</v>
      </c>
      <c r="K172" s="34" t="str">
        <f>IF(G172=0,"—",(F172-C172)/G172)</f>
        <v>—</v>
      </c>
      <c r="L172" s="46" t="str">
        <f>IF(ISNUMBER(K172),TDIST(ABS(K172),H172,1),"—")</f>
        <v>—</v>
      </c>
      <c r="M172" s="47" t="str">
        <f>IF(ISNUMBER(J172),MAX(J172,L172),"—")</f>
        <v>—</v>
      </c>
      <c r="N172" s="30">
        <v>0.05</v>
      </c>
      <c r="O172" s="39" t="str">
        <f t="shared" si="33"/>
        <v>Not demonstrated (p=—)</v>
      </c>
    </row>
    <row r="173" spans="1:15" ht="15" customHeight="1" x14ac:dyDescent="0.2">
      <c r="A173" s="32" t="s">
        <v>16</v>
      </c>
      <c r="B173" s="33" t="s">
        <v>79</v>
      </c>
      <c r="C173" s="34">
        <f>B156*(AVERAGE(N32:N38)+AVERAGE(N40:N44))/2</f>
        <v>6.0000000000000001E-3</v>
      </c>
      <c r="D173" s="26">
        <f>AVERAGE(N32:N38)</f>
        <v>0.06</v>
      </c>
      <c r="E173" s="27">
        <f>AVERAGE(N40:N44)</f>
        <v>0.06</v>
      </c>
      <c r="F173" s="34">
        <f t="shared" si="27"/>
        <v>0</v>
      </c>
      <c r="G173" s="34">
        <f>SQRT((STDEV(N32:N38)^2/7)+(STDEV(N40:N44)^2/5))</f>
        <v>0</v>
      </c>
      <c r="H173" s="39">
        <v>10</v>
      </c>
      <c r="I173" s="34" t="str">
        <f>IF(G173=0,"—",(F173+C173)/G173)</f>
        <v>—</v>
      </c>
      <c r="J173" s="46" t="str">
        <f>IF(ISNUMBER(I173),IF(I173&lt;0,1,TDIST(I173,H173,1)),"—")</f>
        <v>—</v>
      </c>
      <c r="K173" s="34" t="str">
        <f>IF(G173=0,"—",(F173-C173)/G173)</f>
        <v>—</v>
      </c>
      <c r="L173" s="46" t="str">
        <f>IF(ISNUMBER(K173),TDIST(ABS(K173),H173,1),"—")</f>
        <v>—</v>
      </c>
      <c r="M173" s="47" t="str">
        <f>IF(ISNUMBER(J173),MAX(J173,L173),"—")</f>
        <v>—</v>
      </c>
      <c r="N173" s="30">
        <v>0.05</v>
      </c>
      <c r="O173" s="39" t="str">
        <f t="shared" si="33"/>
        <v>Not demonstrated (p=—)</v>
      </c>
    </row>
    <row r="174" spans="1:15" ht="15" customHeight="1" x14ac:dyDescent="0.2">
      <c r="A174" s="32" t="s">
        <v>17</v>
      </c>
      <c r="B174" s="33" t="s">
        <v>80</v>
      </c>
      <c r="C174" s="34">
        <f>B156*(AVERAGE(O32:O38)+AVERAGE(O40:O44))/2</f>
        <v>1.5994285714285714</v>
      </c>
      <c r="D174" s="26">
        <f>AVERAGE(O32:O38)</f>
        <v>15.47857142857143</v>
      </c>
      <c r="E174" s="27">
        <f>AVERAGE(O40:O44)</f>
        <v>16.509999999999998</v>
      </c>
      <c r="F174" s="34">
        <f t="shared" si="27"/>
        <v>-1.0314285714285685</v>
      </c>
      <c r="G174" s="34">
        <f>SQRT((STDEV(O32:O38)^2/7)+(STDEV(O40:O44)^2/5))</f>
        <v>0.32342974928272833</v>
      </c>
      <c r="H174" s="39">
        <v>10</v>
      </c>
      <c r="I174" s="34">
        <f>(F174+C174)/G174</f>
        <v>1.7561773499798927</v>
      </c>
      <c r="J174" s="46">
        <f>IF(ISNUMBER(I174),IF(I174&lt;0,1,TDIST(I174,H174,1)),1)</f>
        <v>5.4789979382800287E-2</v>
      </c>
      <c r="K174" s="34">
        <f>(F174-C174)/G174</f>
        <v>-8.1342459952790502</v>
      </c>
      <c r="L174" s="46">
        <f>TDIST(ABS(K174),H174,1)</f>
        <v>5.0874020730308354E-6</v>
      </c>
      <c r="M174" s="47">
        <f>MAX(J174,L174)</f>
        <v>5.4789979382800287E-2</v>
      </c>
      <c r="N174" s="30">
        <v>0.05</v>
      </c>
      <c r="O174" s="39" t="str">
        <f t="shared" si="33"/>
        <v>Not demonstrated (p=0.05479)</v>
      </c>
    </row>
    <row r="177" ht="19.5" customHeight="1" x14ac:dyDescent="0.2"/>
  </sheetData>
  <mergeCells count="36">
    <mergeCell ref="A159:T159"/>
    <mergeCell ref="A153:T153"/>
    <mergeCell ref="C154:H154"/>
    <mergeCell ref="C155:H155"/>
    <mergeCell ref="C156:H156"/>
    <mergeCell ref="C157:H157"/>
    <mergeCell ref="A116:T116"/>
    <mergeCell ref="A132:T132"/>
    <mergeCell ref="A134:T134"/>
    <mergeCell ref="A151:T151"/>
    <mergeCell ref="A152:T152"/>
    <mergeCell ref="C92:H92"/>
    <mergeCell ref="A94:T94"/>
    <mergeCell ref="A112:T112"/>
    <mergeCell ref="A113:T113"/>
    <mergeCell ref="A115:T115"/>
    <mergeCell ref="A87:T87"/>
    <mergeCell ref="A88:T88"/>
    <mergeCell ref="C89:H89"/>
    <mergeCell ref="C90:H90"/>
    <mergeCell ref="C91:H91"/>
    <mergeCell ref="A50:T50"/>
    <mergeCell ref="A51:T51"/>
    <mergeCell ref="A67:T67"/>
    <mergeCell ref="A69:T69"/>
    <mergeCell ref="A86:T86"/>
    <mergeCell ref="A29:T29"/>
    <mergeCell ref="A31:P31"/>
    <mergeCell ref="A39:P39"/>
    <mergeCell ref="A47:T47"/>
    <mergeCell ref="A48:T48"/>
    <mergeCell ref="A1:T1"/>
    <mergeCell ref="A2:T2"/>
    <mergeCell ref="A4:T4"/>
    <mergeCell ref="A6:P6"/>
    <mergeCell ref="A17:P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866E-BFB0-9340-8B85-EA26632BA038}">
  <dimension ref="A1:T1"/>
  <sheetViews>
    <sheetView workbookViewId="0">
      <selection sqref="A1:T1"/>
    </sheetView>
  </sheetViews>
  <sheetFormatPr baseColWidth="10" defaultRowHeight="15" x14ac:dyDescent="0.2"/>
  <sheetData>
    <row r="1" spans="1:20" ht="16" x14ac:dyDescent="0.2">
      <c r="A1" s="48" t="s">
        <v>115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heather langsner</cp:lastModifiedBy>
  <cp:revision>0</cp:revision>
  <dcterms:created xsi:type="dcterms:W3CDTF">2026-05-22T00:48:30Z</dcterms:created>
  <dcterms:modified xsi:type="dcterms:W3CDTF">2026-05-22T15:24:19Z</dcterms:modified>
  <dc:language>en-US</dc:language>
</cp:coreProperties>
</file>